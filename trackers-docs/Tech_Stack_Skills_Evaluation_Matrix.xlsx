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 Evaluation Matrix" sheetId="1" state="visible" r:id="rId3"/>
    <sheet name="Self-Assessment Scorecard" sheetId="2" state="visible" r:id="rId4"/>
    <sheet name="Weekly Progres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<sst xmlns="http://schemas.openxmlformats.org/spreadsheetml/2006/main" count="310" uniqueCount="276">
  <si>
    <t xml:space="preserve">#</t>
  </si>
  <si>
    <t xml:space="preserve">Category</t>
  </si>
  <si>
    <t xml:space="preserve">Skill / Technology</t>
  </si>
  <si>
    <t xml:space="preserve">SDE-2 Expected Level</t>
  </si>
  <si>
    <t xml:space="preserve">SDE-3 Expected Level</t>
  </si>
  <si>
    <t xml:space="preserve">Your Current Level (1-5)</t>
  </si>
  <si>
    <t xml:space="preserve">Gap Analysis</t>
  </si>
  <si>
    <t xml:space="preserve">Priority to Fix</t>
  </si>
  <si>
    <t xml:space="preserve">Action Plan</t>
  </si>
  <si>
    <t xml:space="preserve">Target Date</t>
  </si>
  <si>
    <t xml:space="preserve">Resource</t>
  </si>
  <si>
    <t xml:space="preserve">  PROGRAMMING LANGUAGES &amp; CORE CS</t>
  </si>
  <si>
    <t xml:space="preserve">Language</t>
  </si>
  <si>
    <t xml:space="preserve">Java (Primary Language)</t>
  </si>
  <si>
    <t xml:space="preserve">Write production code fluently. Collections internals, Concurrency (synchronized, ExecutorService, CompletableFuture), Streams API, Java 8-17 features. Solve DSA in Java.</t>
  </si>
  <si>
    <t xml:space="preserve">All SDE-2 + JVM tuning (GC, heap, JIT), Virtual Threads (Java 21), performance profiling (JFR, async-profiler), custom classloaders, bytecode awareness.</t>
  </si>
  <si>
    <t xml:space="preserve">Prog. Pathshala + LeetCode</t>
  </si>
  <si>
    <t xml:space="preserve">Golang (Secondary)</t>
  </si>
  <si>
    <t xml:space="preserve">Read and write basic Go code. Goroutines, channels, error handling. Understand when Go &gt; Java (concurrency-heavy services, CLI tools).</t>
  </si>
  <si>
    <t xml:space="preserve">Design microservices in Go. Profiling, benchmarking, interface-based design, context propagation, Go concurrency patterns.</t>
  </si>
  <si>
    <t xml:space="preserve">Your CodeStore experience</t>
  </si>
  <si>
    <t xml:space="preserve">SQL</t>
  </si>
  <si>
    <t xml:space="preserve">Complex JOINs, window functions (ROW_NUMBER, RANK, LAG), CTEs (recursive), subqueries. Write and optimize queries. Read EXPLAIN plans.</t>
  </si>
  <si>
    <t xml:space="preserve">All SDE-2 + query optimization from scratch, index design, partitioning strategy, stored procedures, database-specific features (MySQL vs PostgreSQL).</t>
  </si>
  <si>
    <t xml:space="preserve">LeetCode SQL + Prog. Pathshala</t>
  </si>
  <si>
    <t xml:space="preserve">C++ (DSA only)</t>
  </si>
  <si>
    <t xml:space="preserve">Solve LeetCode problems fluently. STL containers, algorithms, pointers, references.</t>
  </si>
  <si>
    <t xml:space="preserve">Not required for backend roles — Java preferred for DSA in interviews at SDE-2+ level.</t>
  </si>
  <si>
    <t xml:space="preserve">Transitioning to Java for DSA</t>
  </si>
  <si>
    <t xml:space="preserve">CS Fundamentals</t>
  </si>
  <si>
    <t xml:space="preserve">DSA (Data Structures &amp; Algorithms)</t>
  </si>
  <si>
    <t xml:space="preserve">Solve Medium LeetCode in 25 min. Patterns: arrays, hashing, two pointers, sliding window, binary search, trees, graphs, BFS/DFS, DP basics (1D), stack, heap.</t>
  </si>
  <si>
    <t xml:space="preserve">All SDE-2 + Hard problems: advanced DP (2D, interval), advanced graphs (Dijkstra, topological sort, SCC), segment trees, union-find. Solve Hard in 35 min.</t>
  </si>
  <si>
    <t xml:space="preserve">NeetCode 150 + Prog. Pathshala</t>
  </si>
  <si>
    <t xml:space="preserve">OOP &amp; Design Principles</t>
  </si>
  <si>
    <t xml:space="preserve">SOLID principles applied to code. Composition over inheritance. Clean code practices. Can identify which pattern to apply.</t>
  </si>
  <si>
    <t xml:space="preserve">All SDE-2 + architect class hierarchies, domain-driven design concepts, lead design reviews, establish coding standards.</t>
  </si>
  <si>
    <t xml:space="preserve">LLD practice + Prog. Pathshala</t>
  </si>
  <si>
    <t xml:space="preserve">Operating System Concepts</t>
  </si>
  <si>
    <t xml:space="preserve">Process vs thread, context switching, deadlock (4 conditions), mutex vs semaphore, virtual memory, paging. Connect to Java (synchronized, thread pools).</t>
  </si>
  <si>
    <t xml:space="preserve">All SDE-2 + memory management deep-dive, Linux internals, container isolation (namespaces, cgroups), performance debugging with strace/perf.</t>
  </si>
  <si>
    <t xml:space="preserve">GFG + InterviewBit</t>
  </si>
  <si>
    <t xml:space="preserve">Computer Networks</t>
  </si>
  <si>
    <t xml:space="preserve">TCP/UDP, HTTP/HTTPS, DNS, REST, WebSocket. TLS handshake. Load balancing. CORS. Rate limiting. Status codes.</t>
  </si>
  <si>
    <t xml:space="preserve">All SDE-2 + HTTP/2 multiplexing, gRPC internals, CDN design, network debugging (tcpdump, wireshark), BGP basics for multi-region.</t>
  </si>
  <si>
    <t xml:space="preserve">GFG + ByteByteGo</t>
  </si>
  <si>
    <t xml:space="preserve">  BACKEND FRAMEWORKS &amp; LIBRARIES</t>
  </si>
  <si>
    <t xml:space="preserve">Framework</t>
  </si>
  <si>
    <t xml:space="preserve">Spring Boot</t>
  </si>
  <si>
    <t xml:space="preserve">Auto-configuration, starters, profiles, actuator. Build REST APIs. @RestController, @Service, @Repository. Error handling (@ControllerAdvice). application.properties/yml.</t>
  </si>
  <si>
    <t xml:space="preserve">All SDE-2 + custom auto-configuration, custom starters, Spring Boot internals, startup optimization, native image (GraalVM), reactive (WebFlux).</t>
  </si>
  <si>
    <t xml:space="preserve">Prog. Pathshala + Docs</t>
  </si>
  <si>
    <t xml:space="preserve">Spring Core (IoC / DI)</t>
  </si>
  <si>
    <t xml:space="preserve">@Autowired (constructor preferred), bean lifecycle, scopes (singleton/prototype), @Configuration + @Bean, AOP basics (@Transactional uses AOP proxy).</t>
  </si>
  <si>
    <t xml:space="preserve">All SDE-2 + custom BeanPostProcessors, programmatic bean registration, custom scopes, conditional beans, Spring context events.</t>
  </si>
  <si>
    <t xml:space="preserve">Spring Docs + O'Reilly</t>
  </si>
  <si>
    <t xml:space="preserve">Spring Data JPA / Hibernate</t>
  </si>
  <si>
    <t xml:space="preserve">Repository pattern, query methods, @Query (JPQL/native), pagination. N+1 problem + fix (JOIN FETCH, @EntityGraph). Lazy vs Eager. @Transactional (propagation, isolation, pitfalls).</t>
  </si>
  <si>
    <t xml:space="preserve">All SDE-2 + Hibernate internals (L1/L2 cache, dirty checking, flush modes), batch processing, multi-tenancy, custom dialect, migration (Flyway).</t>
  </si>
  <si>
    <t xml:space="preserve">GSTN hands-on + DDIA</t>
  </si>
  <si>
    <t xml:space="preserve">Spring Security</t>
  </si>
  <si>
    <t xml:space="preserve">JWT auth flow, @PreAuthorize, CORS config, password encoding (BCrypt). Basic OAuth2 understanding.</t>
  </si>
  <si>
    <t xml:space="preserve">All SDE-2 + OAuth2 server implementation, OIDC, custom authentication providers, method security, security filter chain design.</t>
  </si>
  <si>
    <t xml:space="preserve">Spring Security Docs</t>
  </si>
  <si>
    <t xml:space="preserve">Spring Kafka</t>
  </si>
  <si>
    <t xml:space="preserve">Producer/consumer config, @KafkaListener, serialization. Basic pub/sub pattern.</t>
  </si>
  <si>
    <t xml:space="preserve">All SDE-2 + partitioning strategy, consumer group design, exactly-once semantics, error handling (DLT), Kafka Streams for stateful processing.</t>
  </si>
  <si>
    <t xml:space="preserve">GSTN Kafka experience</t>
  </si>
  <si>
    <t xml:space="preserve">Testing (JUnit + Mockito)</t>
  </si>
  <si>
    <t xml:space="preserve">Unit tests with @Mock, @InjectMocks. Integration tests with @SpringBootTest. @WebMvcTest for controllers. @DataJpaTest for repositories. 70%+ coverage.</t>
  </si>
  <si>
    <t xml:space="preserve">All SDE-2 + TestContainers, contract testing (Pact), performance testing (Gatling/JMeter), chaos testing, test architecture design for team.</t>
  </si>
  <si>
    <t xml:space="preserve">Practice + Prog. Pathshala</t>
  </si>
  <si>
    <t xml:space="preserve">  DATABASES &amp; DATA STORES</t>
  </si>
  <si>
    <t xml:space="preserve">Database</t>
  </si>
  <si>
    <t xml:space="preserve">MySQL</t>
  </si>
  <si>
    <t xml:space="preserve">Schema design, normalization (1NF-3NF), indexing (B+ tree, composite), EXPLAIN plans, transactions (ACID, isolation levels), connection pooling (HikariCP).</t>
  </si>
  <si>
    <t xml:space="preserve">All SDE-2 + InnoDB internals (MVCC, undo log, redo log), sharding strategy, partitioning, replication setup, slow query optimization, performance tuning.</t>
  </si>
  <si>
    <t xml:space="preserve">GSTN 36-shard experience + DDIA</t>
  </si>
  <si>
    <t xml:space="preserve">Redis</t>
  </si>
  <si>
    <t xml:space="preserve">Key-value caching, data structures (String, Hash, List, Set, Sorted Set), TTL, pub/sub. Cache-aside pattern. Basic cluster awareness.</t>
  </si>
  <si>
    <t xml:space="preserve">All SDE-2 + Redis Cluster (hash slots), Lua scripting, Redis Streams, distributed locking (Redlock), memory optimization, persistence tuning (RDB+AOF).</t>
  </si>
  <si>
    <t xml:space="preserve">GSTN Redis caching exp</t>
  </si>
  <si>
    <t xml:space="preserve">MongoDB</t>
  </si>
  <si>
    <t xml:space="preserve">Document model, collections, basic CRUD, indexing. Know when to choose over SQL.</t>
  </si>
  <si>
    <t xml:space="preserve">All SDE-2 + aggregation pipeline, sharding by shard key, replica sets, change streams, schema validation, Atlas features.</t>
  </si>
  <si>
    <t xml:space="preserve">CodeStore MongoDB exp</t>
  </si>
  <si>
    <t xml:space="preserve">Elasticsearch</t>
  </si>
  <si>
    <t xml:space="preserve">Inverted index concept, basic search queries, when to use (search, analytics, logging).</t>
  </si>
  <si>
    <t xml:space="preserve">All SDE-2 + mapping design, analyzer configuration, relevance tuning, shard planning, cluster management, aggregation framework.</t>
  </si>
  <si>
    <t xml:space="preserve">CodeStore search optimization exp</t>
  </si>
  <si>
    <t xml:space="preserve">HBase / Wide-Column</t>
  </si>
  <si>
    <t xml:space="preserve">Basic concept: column-family store, row key design. When to use for large-scale data.</t>
  </si>
  <si>
    <t xml:space="preserve">All SDE-2 + region splitting, compaction, read/write paths, hot-spotting prevention, integration with Hadoop ecosystem.</t>
  </si>
  <si>
    <t xml:space="preserve">GSTN HBase file upload exp</t>
  </si>
  <si>
    <t xml:space="preserve">  SYSTEM DESIGN &amp; ARCHITECTURE</t>
  </si>
  <si>
    <t xml:space="preserve">Design</t>
  </si>
  <si>
    <t xml:space="preserve">High-Level Design (HLD)</t>
  </si>
  <si>
    <t xml:space="preserve">Design 5-7 standard systems (URL shortener, notification, payment, chat, news feed). Back-of-envelope estimation. Component diagram. Data flow.</t>
  </si>
  <si>
    <t xml:space="preserve">All SDE-2 + design 10+ advanced systems (Google Maps, distributed DB, stock exchange). Multi-region. Capacity planning. Cost analysis. Tradeoff articulation.</t>
  </si>
  <si>
    <t xml:space="preserve">ByteByteGo + Hello Interview</t>
  </si>
  <si>
    <t xml:space="preserve">Low-Level Design (LLD)</t>
  </si>
  <si>
    <t xml:space="preserve">Solve 8-10 LLD problems (parking lot, LRU cache, payment system). Design patterns (Strategy, Observer, State, Factory, Builder). SOLID applied. UML basics.</t>
  </si>
  <si>
    <t xml:space="preserve">All SDE-2 + 15+ problems, machine coding fluency (90min working code), concurrency-aware LLD (thread-safe designs), design review leadership.</t>
  </si>
  <si>
    <t xml:space="preserve">Prog. Pathshala + Shrayansh Jain</t>
  </si>
  <si>
    <t xml:space="preserve">Microservices Architecture</t>
  </si>
  <si>
    <t xml:space="preserve">Service decomposition, inter-service communication (REST/Kafka), API gateway, service discovery. Basic circuit breaker, retry.</t>
  </si>
  <si>
    <t xml:space="preserve">All SDE-2 + saga/CQRS/event sourcing, DDD (bounded contexts), service mesh (Istio), contract testing, distributed tracing, migration from monolith.</t>
  </si>
  <si>
    <t xml:space="preserve">GSTN microservices exp + DDIA</t>
  </si>
  <si>
    <t xml:space="preserve">Database Design</t>
  </si>
  <si>
    <t xml:space="preserve">Schema design for 3-5 systems. Normalization/denormalization tradeoffs. Index strategy. Basic sharding awareness.</t>
  </si>
  <si>
    <t xml:space="preserve">All SDE-2 + design sharding from scratch, polyglot persistence (SQL + NoSQL + cache), data migration strategy, capacity planning.</t>
  </si>
  <si>
    <t xml:space="preserve">GSTN sharding exp + DDIA</t>
  </si>
  <si>
    <t xml:space="preserve">API Design</t>
  </si>
  <si>
    <t xml:space="preserve">RESTful API design (resource-based URLs, methods, status codes). Pagination, versioning, error handling. Basic idempotency.</t>
  </si>
  <si>
    <t xml:space="preserve">All SDE-2 + API gateway design, gRPC, GraphQL, API evolution strategy, backward compatibility, rate limiting design, developer experience (DX).</t>
  </si>
  <si>
    <t xml:space="preserve">GSTN 15+ APIs designed</t>
  </si>
  <si>
    <t xml:space="preserve">  DEVOPS, CLOUD &amp; INFRASTRUCTURE</t>
  </si>
  <si>
    <t xml:space="preserve">DevOps</t>
  </si>
  <si>
    <t xml:space="preserve">Docker</t>
  </si>
  <si>
    <t xml:space="preserve">Build Dockerfile, run containers, docker-compose for multi-service local dev. Volume mounting, port mapping, environment variables.</t>
  </si>
  <si>
    <t xml:space="preserve">All SDE-2 + multi-stage builds (optimize image size), security scanning, Docker networking, private registry, CI/CD integration.</t>
  </si>
  <si>
    <t xml:space="preserve">KodeCloud (Phase 4)</t>
  </si>
  <si>
    <t xml:space="preserve">Kubernetes</t>
  </si>
  <si>
    <t xml:space="preserve">Basic concepts: Pod, Deployment, Service, ConfigMap, Secret. kubectl commands. Understand why K8s exists.</t>
  </si>
  <si>
    <t xml:space="preserve">All SDE-2 + Helm charts, HPA (auto-scaling), liveness/readiness probes, resource limits, RBAC, service mesh, debugging failed pods.</t>
  </si>
  <si>
    <t xml:space="preserve">CI/CD</t>
  </si>
  <si>
    <t xml:space="preserve">Understand pipeline: build → test → deploy. Used Jenkins/GitHub Actions. Know what happens when you push code.</t>
  </si>
  <si>
    <t xml:space="preserve">All SDE-2 + design CI/CD pipeline, blue-green/canary deployments, feature flags, rollback automation, deployment frequency optimization.</t>
  </si>
  <si>
    <t xml:space="preserve">KodeCloud + Office exp</t>
  </si>
  <si>
    <t xml:space="preserve">Cloud</t>
  </si>
  <si>
    <t xml:space="preserve">AWS (Core Services)</t>
  </si>
  <si>
    <t xml:space="preserve">EC2, S3, RDS, ElastiCache, SQS/SNS basics. IAM fundamentals. VPC basics. Understand managed services concept.</t>
  </si>
  <si>
    <t xml:space="preserve">All SDE-2 + Lambda/serverless, ECS/EKS, CloudWatch/CloudTrail, auto-scaling groups, multi-AZ/multi-region, cost optimization, Well-Architected Framework.</t>
  </si>
  <si>
    <t xml:space="preserve">KodeCloud (CCP cert target)</t>
  </si>
  <si>
    <t xml:space="preserve">AWS Certification</t>
  </si>
  <si>
    <t xml:space="preserve">Cloud Practitioner (CLF-C02) — foundational understanding of AWS services, pricing, security.</t>
  </si>
  <si>
    <t xml:space="preserve">Solutions Architect Associate — design scalable, resilient architectures on AWS.</t>
  </si>
  <si>
    <t xml:space="preserve">  GENAI &amp; EMERGING TECH (Differentiator)</t>
  </si>
  <si>
    <t xml:space="preserve">GenAI</t>
  </si>
  <si>
    <t xml:space="preserve">LLM Fundamentals</t>
  </si>
  <si>
    <t xml:space="preserve">Understand: transformer architecture, attention mechanism, tokenization, embeddings, temperature/top-p. Prompt engineering (zero-shot, few-shot, chain-of-thought).</t>
  </si>
  <si>
    <t xml:space="preserve">All SDE-2 + fine-tuning (LoRA/QLoRA), evaluation frameworks (RAGAS), LLM deployment optimization (quantization, batching), cost-performance tradeoffs.</t>
  </si>
  <si>
    <t xml:space="preserve">3Blue1Brown + Karpathy</t>
  </si>
  <si>
    <t xml:space="preserve">RAG (Retrieval-Augmented Generation)</t>
  </si>
  <si>
    <t xml:space="preserve">Understand: vector databases, chunking strategies, embedding models, retrieval + generation pipeline. Build a basic RAG app.</t>
  </si>
  <si>
    <t xml:space="preserve">All SDE-2 + hybrid search (vector + keyword), reranking, advanced chunking (semantic), evaluation metrics, production RAG with caching and monitoring.</t>
  </si>
  <si>
    <t xml:space="preserve">Project: Doc Q&amp;A System (Phase 4)</t>
  </si>
  <si>
    <t xml:space="preserve">MCP / AI Agents</t>
  </si>
  <si>
    <t xml:space="preserve">Basic understanding: Model Context Protocol, tool use, agent architecture. Familiar from Infosys POC.</t>
  </si>
  <si>
    <t xml:space="preserve">Design and build production AI agents. MCP server/client architecture, tool orchestration, context management, guardrails.</t>
  </si>
  <si>
    <t xml:space="preserve">Infosys GenAI POC exp</t>
  </si>
  <si>
    <t xml:space="preserve">AWS Bedrock / LLM APIs</t>
  </si>
  <si>
    <t xml:space="preserve">Call LLM APIs (Anthropic, OpenAI, Bedrock). Handle streaming responses. Basic function calling.</t>
  </si>
  <si>
    <t xml:space="preserve">All SDE-2 + model selection strategy, cost optimization, fallback between models, monitoring LLM responses, A/B testing models.</t>
  </si>
  <si>
    <t xml:space="preserve">Infosys Bedrock exp</t>
  </si>
  <si>
    <t xml:space="preserve">  SOFT SKILLS &amp; ENGINEERING PRACTICES</t>
  </si>
  <si>
    <t xml:space="preserve">Soft Skills</t>
  </si>
  <si>
    <t xml:space="preserve">Communication (Technical)</t>
  </si>
  <si>
    <t xml:space="preserve">Explain your project clearly in 2 minutes. Explain technical decisions to peers. Write clear PR descriptions. Document APIs.</t>
  </si>
  <si>
    <t xml:space="preserve">All SDE-2 + explain to non-technical stakeholders. Write RFCs/design docs. Present architecture to leadership. Mentor through explanation.</t>
  </si>
  <si>
    <t xml:space="preserve">Practice pitch + mock interviews</t>
  </si>
  <si>
    <t xml:space="preserve">Code Review &amp; Feedback</t>
  </si>
  <si>
    <t xml:space="preserve">Give constructive code review feedback. Accept feedback gracefully. Focus on design, not style nitpicks.</t>
  </si>
  <si>
    <t xml:space="preserve">All SDE-2 + establish team code review standards. Mentor through reviews. Identify systemic issues from review patterns.</t>
  </si>
  <si>
    <t xml:space="preserve">GSTN: led code reviews</t>
  </si>
  <si>
    <t xml:space="preserve">Ownership &amp; Initiative</t>
  </si>
  <si>
    <t xml:space="preserve">Own features end-to-end (design → implement → test → deploy → monitor). Identify problems proactively.</t>
  </si>
  <si>
    <t xml:space="preserve">All SDE-2 + own architecture decisions. Drive cross-team initiatives. Identify and fix systemic problems. Influence technical direction.</t>
  </si>
  <si>
    <t xml:space="preserve">GSTN: full-stack ownership</t>
  </si>
  <si>
    <t xml:space="preserve">Mentoring</t>
  </si>
  <si>
    <t xml:space="preserve">Guide 1-2 junior engineers. Pair programming. Help unblock team members. Share knowledge.</t>
  </si>
  <si>
    <t xml:space="preserve">All SDE-2 + design onboarding programs. Conduct tech talks. Mentor multiple people. Establish documentation culture.</t>
  </si>
  <si>
    <t xml:space="preserve">GSTN: mentored 3 engineers</t>
  </si>
  <si>
    <t xml:space="preserve">Estimation &amp; Planning</t>
  </si>
  <si>
    <t xml:space="preserve">Break tasks into subtasks. Estimate accurately (±20%). Communicate blockers early. Manage your own sprint work.</t>
  </si>
  <si>
    <t xml:space="preserve">All SDE-2 + estimate for the team. Identify risks in project plan. Break ambiguous requirements into clear tasks. Negotiate scope with PM.</t>
  </si>
  <si>
    <t xml:space="preserve">Sprint planning exp</t>
  </si>
  <si>
    <t xml:space="preserve">Incident Management</t>
  </si>
  <si>
    <t xml:space="preserve">Respond to production incidents. Follow runbook. Contribute to post-mortem. Fix bugs in production.</t>
  </si>
  <si>
    <t xml:space="preserve">All SDE-2 + lead incident response. Write post-mortems. Design monitoring/alerting. Establish on-call processes. Prevent recurrence.</t>
  </si>
  <si>
    <t xml:space="preserve">GSTN production support</t>
  </si>
  <si>
    <t xml:space="preserve">Behavioral / STAR Stories</t>
  </si>
  <si>
    <t xml:space="preserve">Have 5 STAR stories ready: impact, ownership, conflict, failure, deadline. Quantified outcomes.</t>
  </si>
  <si>
    <t xml:space="preserve">All SDE-2 + 10 stories covering: cross-team influence, strategic thinking, ambiguity navigation, trade-off decisions, team building.</t>
  </si>
  <si>
    <t xml:space="preserve">Behavioral prep sheet</t>
  </si>
  <si>
    <t xml:space="preserve">Area</t>
  </si>
  <si>
    <t xml:space="preserve">Weight (%)</t>
  </si>
  <si>
    <t xml:space="preserve">Your Score (1-5)</t>
  </si>
  <si>
    <t xml:space="preserve">Weighted Score</t>
  </si>
  <si>
    <t xml:space="preserve">SDE-2 Bar (Min Score)</t>
  </si>
  <si>
    <t xml:space="preserve">SDE-3 Bar (Min Score)</t>
  </si>
  <si>
    <t xml:space="preserve">You vs SDE-2</t>
  </si>
  <si>
    <t xml:space="preserve">You vs SDE-3</t>
  </si>
  <si>
    <t xml:space="preserve">Verdict</t>
  </si>
  <si>
    <t xml:space="preserve">DSA (Problem Solving)</t>
  </si>
  <si>
    <t xml:space="preserve">Java Core + JVM</t>
  </si>
  <si>
    <t xml:space="preserve">Spring Boot / Framework</t>
  </si>
  <si>
    <t xml:space="preserve">Database (SQL + NoSQL + Design)</t>
  </si>
  <si>
    <t xml:space="preserve">System Design (HLD)</t>
  </si>
  <si>
    <t xml:space="preserve">OS + Computer Networks</t>
  </si>
  <si>
    <t xml:space="preserve">DevOps / Cloud (Docker, K8s, AWS)</t>
  </si>
  <si>
    <t xml:space="preserve">GenAI / Emerging Tech</t>
  </si>
  <si>
    <t xml:space="preserve">Behavioral / Soft Skills</t>
  </si>
  <si>
    <t xml:space="preserve">TOTAL WEIGHTED SCORE</t>
  </si>
  <si>
    <t xml:space="preserve">SDE-2 Min: 60%</t>
  </si>
  <si>
    <t xml:space="preserve">SDE-3 Min: 75%</t>
  </si>
  <si>
    <t xml:space="preserve">  RATING GUIDE: 1=No knowledge  2=Basic awareness (read about it)  3=Can discuss concepts (studied)  4=Can apply in interview (practiced)  5=Expert (can teach others, production exp)</t>
  </si>
  <si>
    <t xml:space="preserve">  HOW TO USE: Rate yourself HONESTLY (not aspirationally) for each area. The weighted score shows your overall readiness. Focus on areas where You vs SDE-2 shows 'GAP'. Those are your P0 priorities.</t>
  </si>
  <si>
    <t xml:space="preserve">Week</t>
  </si>
  <si>
    <t xml:space="preserve">Date Range</t>
  </si>
  <si>
    <t xml:space="preserve">DSA (1-5)</t>
  </si>
  <si>
    <t xml:space="preserve">Java (1-5)</t>
  </si>
  <si>
    <t xml:space="preserve">Spring (1-5)</t>
  </si>
  <si>
    <t xml:space="preserve">DB (1-5)</t>
  </si>
  <si>
    <t xml:space="preserve">HLD (1-5)</t>
  </si>
  <si>
    <t xml:space="preserve">LLD (1-5)</t>
  </si>
  <si>
    <t xml:space="preserve">OS/CN (1-5)</t>
  </si>
  <si>
    <t xml:space="preserve">Cloud (1-5)</t>
  </si>
  <si>
    <t xml:space="preserve">GenAI (1-5)</t>
  </si>
  <si>
    <t xml:space="preserve">Behavioral (1-5)</t>
  </si>
  <si>
    <t xml:space="preserve">Overall Score</t>
  </si>
  <si>
    <t xml:space="preserve">Focus This Week</t>
  </si>
  <si>
    <t xml:space="preserve">Biggest Improvement</t>
  </si>
  <si>
    <t xml:space="preserve">Biggest Gap Still</t>
  </si>
  <si>
    <t xml:space="preserve">Week 1</t>
  </si>
  <si>
    <t xml:space="preserve">Mar 17 - Mar 23</t>
  </si>
  <si>
    <t xml:space="preserve">Week 2</t>
  </si>
  <si>
    <t xml:space="preserve">Mar 24 - Mar 30</t>
  </si>
  <si>
    <t xml:space="preserve">Week 3</t>
  </si>
  <si>
    <t xml:space="preserve">Mar 31 - Apr 06</t>
  </si>
  <si>
    <t xml:space="preserve">Week 4</t>
  </si>
  <si>
    <t xml:space="preserve">Apr 07 - Apr 13</t>
  </si>
  <si>
    <t xml:space="preserve">Week 5</t>
  </si>
  <si>
    <t xml:space="preserve">Apr 14 - Apr 20</t>
  </si>
  <si>
    <t xml:space="preserve">Week 6</t>
  </si>
  <si>
    <t xml:space="preserve">Apr 21 - Apr 27</t>
  </si>
  <si>
    <t xml:space="preserve">Week 7</t>
  </si>
  <si>
    <t xml:space="preserve">Apr 28 - May 04</t>
  </si>
  <si>
    <t xml:space="preserve">Week 8</t>
  </si>
  <si>
    <t xml:space="preserve">May 05 - May 11</t>
  </si>
  <si>
    <t xml:space="preserve">Week 9</t>
  </si>
  <si>
    <t xml:space="preserve">May 12 - May 18</t>
  </si>
  <si>
    <t xml:space="preserve">Week 10</t>
  </si>
  <si>
    <t xml:space="preserve">May 19 - May 25</t>
  </si>
  <si>
    <t xml:space="preserve">Week 11</t>
  </si>
  <si>
    <t xml:space="preserve">May 26 - Jun 01</t>
  </si>
  <si>
    <t xml:space="preserve">Week 12</t>
  </si>
  <si>
    <t xml:space="preserve">Jun 02 - Jun 08</t>
  </si>
  <si>
    <t xml:space="preserve">Week 13</t>
  </si>
  <si>
    <t xml:space="preserve">Jun 09 - Jun 15</t>
  </si>
  <si>
    <t xml:space="preserve">Week 14</t>
  </si>
  <si>
    <t xml:space="preserve">Jun 16 - Jun 22</t>
  </si>
  <si>
    <t xml:space="preserve">Week 15</t>
  </si>
  <si>
    <t xml:space="preserve">Jun 23 - Jun 29</t>
  </si>
  <si>
    <t xml:space="preserve">Week 16</t>
  </si>
  <si>
    <t xml:space="preserve">Jun 30 - Jul 06</t>
  </si>
  <si>
    <t xml:space="preserve">Week 17</t>
  </si>
  <si>
    <t xml:space="preserve">Jul 07 - Jul 13</t>
  </si>
  <si>
    <t xml:space="preserve">Week 18</t>
  </si>
  <si>
    <t xml:space="preserve">Jul 14 - Jul 20</t>
  </si>
  <si>
    <t xml:space="preserve">Week 19</t>
  </si>
  <si>
    <t xml:space="preserve">Jul 21 - Jul 27</t>
  </si>
  <si>
    <t xml:space="preserve">Week 20</t>
  </si>
  <si>
    <t xml:space="preserve">Jul 28 - Aug 03</t>
  </si>
  <si>
    <t xml:space="preserve">Week 21</t>
  </si>
  <si>
    <t xml:space="preserve">Aug 04 - Aug 10</t>
  </si>
  <si>
    <t xml:space="preserve">Week 22</t>
  </si>
  <si>
    <t xml:space="preserve">Aug 11 - Aug 17</t>
  </si>
  <si>
    <t xml:space="preserve">Week 23</t>
  </si>
  <si>
    <t xml:space="preserve">Aug 18 - Aug 24</t>
  </si>
  <si>
    <t xml:space="preserve">Week 24</t>
  </si>
  <si>
    <t xml:space="preserve">Aug 25 - Aug 31</t>
  </si>
  <si>
    <t xml:space="preserve">Week 25</t>
  </si>
  <si>
    <t xml:space="preserve">Sep 01 - Sep 07</t>
  </si>
  <si>
    <t xml:space="preserve">Week 26</t>
  </si>
  <si>
    <t xml:space="preserve">Sep 08 - Sep 14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</si>
</sst>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color rgb="FF2C3E5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2E86C1"/>
        <bgColor rgb="FF008080"/>
      </patternFill>
    </fill>
    <fill>
      <patternFill patternType="solid">
        <fgColor rgb="FFF8F9FA"/>
        <bgColor rgb="FFFFFFFF"/>
      </patternFill>
    </fill>
    <fill>
      <patternFill patternType="solid">
        <fgColor rgb="FFFFF3CD"/>
        <bgColor rgb="FFFBEEE6"/>
      </patternFill>
    </fill>
    <fill>
      <patternFill patternType="solid">
        <fgColor rgb="FF85C1E9"/>
        <bgColor rgb="FF82E0AA"/>
      </patternFill>
    </fill>
    <fill>
      <patternFill patternType="solid">
        <fgColor rgb="FFFEF9E7"/>
        <bgColor rgb="FFF8F9FA"/>
      </patternFill>
    </fill>
    <fill>
      <patternFill patternType="solid">
        <fgColor rgb="FFE8F8F5"/>
        <bgColor rgb="FFF8F9FA"/>
      </patternFill>
    </fill>
    <fill>
      <patternFill patternType="solid">
        <fgColor rgb="FFFBEEE6"/>
        <bgColor rgb="FFFDEDEC"/>
      </patternFill>
    </fill>
    <fill>
      <patternFill patternType="solid">
        <fgColor rgb="FFF4ECF7"/>
        <bgColor rgb="FFFDEDEC"/>
      </patternFill>
    </fill>
    <fill>
      <patternFill patternType="solid">
        <fgColor rgb="FFFDEDEC"/>
        <bgColor rgb="FFFBEE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2ECC71"/>
        </patternFill>
      </fill>
    </dxf>
    <dxf>
      <fill>
        <patternFill>
          <bgColor rgb="FFFECA57"/>
        </patternFill>
      </fill>
    </dxf>
    <dxf>
      <fill>
        <patternFill>
          <bgColor rgb="FFE17055"/>
        </patternFill>
      </fill>
    </dxf>
    <dxf>
      <fill>
        <patternFill>
          <bgColor rgb="FFFF6B6B"/>
        </patternFill>
      </fill>
    </dxf>
    <dxf>
      <fill>
        <patternFill>
          <bgColor rgb="FFE74C3C"/>
        </patternFill>
      </fill>
    </dxf>
    <dxf>
      <fill>
        <patternFill>
          <bgColor rgb="FFE67E22"/>
        </patternFill>
      </fill>
    </dxf>
    <dxf>
      <fill>
        <patternFill>
          <bgColor rgb="FFF39C12"/>
        </patternFill>
      </fill>
    </dxf>
    <dxf>
      <fill>
        <patternFill>
          <bgColor rgb="FF82E0A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E74C3C"/>
      <rgbColor rgb="FFFFF3CD"/>
      <rgbColor rgb="FFE8F8F5"/>
      <rgbColor rgb="FF660066"/>
      <rgbColor rgb="FFFF6B6B"/>
      <rgbColor rgb="FF0066CC"/>
      <rgbColor rgb="FFFDED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F4ECF7"/>
      <rgbColor rgb="FFFEF9E7"/>
      <rgbColor rgb="FF85C1E9"/>
      <rgbColor rgb="FFE17055"/>
      <rgbColor rgb="FFFBEEE6"/>
      <rgbColor rgb="FFFECA57"/>
      <rgbColor rgb="FF2E86C1"/>
      <rgbColor rgb="FF2ECC71"/>
      <rgbColor rgb="FF99CC00"/>
      <rgbColor rgb="FFFFCC00"/>
      <rgbColor rgb="FFF39C12"/>
      <rgbColor rgb="FFE67E22"/>
      <rgbColor rgb="FF666699"/>
      <rgbColor rgb="FF82E0AA"/>
      <rgbColor rgb="FF1B4F72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K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35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53.7" hidden="false" customHeight="false" outlineLevel="0" collapsed="false">
      <c r="A3" s="3" t="n">
        <v>1</v>
      </c>
      <c r="B3" s="3" t="s">
        <v>12</v>
      </c>
      <c r="C3" s="3" t="s">
        <v>13</v>
      </c>
      <c r="D3" s="4" t="s">
        <v>14</v>
      </c>
      <c r="E3" s="4" t="s">
        <v>15</v>
      </c>
      <c r="F3" s="4"/>
      <c r="G3" s="4"/>
      <c r="H3" s="4"/>
      <c r="I3" s="4"/>
      <c r="J3" s="4"/>
      <c r="K3" s="4" t="s">
        <v>16</v>
      </c>
    </row>
    <row r="4" customFormat="false" ht="43.25" hidden="false" customHeight="false" outlineLevel="0" collapsed="false">
      <c r="A4" s="5" t="n">
        <v>2</v>
      </c>
      <c r="B4" s="5" t="s">
        <v>12</v>
      </c>
      <c r="C4" s="5" t="s">
        <v>17</v>
      </c>
      <c r="D4" s="6" t="s">
        <v>18</v>
      </c>
      <c r="E4" s="6" t="s">
        <v>19</v>
      </c>
      <c r="F4" s="6"/>
      <c r="G4" s="6"/>
      <c r="H4" s="6"/>
      <c r="I4" s="6"/>
      <c r="J4" s="6"/>
      <c r="K4" s="6" t="s">
        <v>20</v>
      </c>
    </row>
    <row r="5" customFormat="false" ht="43.25" hidden="false" customHeight="false" outlineLevel="0" collapsed="false">
      <c r="A5" s="3" t="n">
        <v>3</v>
      </c>
      <c r="B5" s="3" t="s">
        <v>12</v>
      </c>
      <c r="C5" s="3" t="s">
        <v>21</v>
      </c>
      <c r="D5" s="4" t="s">
        <v>22</v>
      </c>
      <c r="E5" s="4" t="s">
        <v>23</v>
      </c>
      <c r="F5" s="4"/>
      <c r="G5" s="4"/>
      <c r="H5" s="4"/>
      <c r="I5" s="4"/>
      <c r="J5" s="4"/>
      <c r="K5" s="4" t="s">
        <v>24</v>
      </c>
    </row>
    <row r="6" customFormat="false" ht="32.8" hidden="false" customHeight="false" outlineLevel="0" collapsed="false">
      <c r="A6" s="5" t="n">
        <v>4</v>
      </c>
      <c r="B6" s="5" t="s">
        <v>12</v>
      </c>
      <c r="C6" s="5" t="s">
        <v>25</v>
      </c>
      <c r="D6" s="6" t="s">
        <v>26</v>
      </c>
      <c r="E6" s="6" t="s">
        <v>27</v>
      </c>
      <c r="F6" s="6"/>
      <c r="G6" s="6"/>
      <c r="H6" s="6"/>
      <c r="I6" s="6"/>
      <c r="J6" s="6"/>
      <c r="K6" s="6" t="s">
        <v>28</v>
      </c>
    </row>
    <row r="7" customFormat="false" ht="43.25" hidden="false" customHeight="false" outlineLevel="0" collapsed="false">
      <c r="A7" s="3" t="n">
        <v>5</v>
      </c>
      <c r="B7" s="3" t="s">
        <v>29</v>
      </c>
      <c r="C7" s="3" t="s">
        <v>30</v>
      </c>
      <c r="D7" s="4" t="s">
        <v>31</v>
      </c>
      <c r="E7" s="4" t="s">
        <v>32</v>
      </c>
      <c r="F7" s="4"/>
      <c r="G7" s="4"/>
      <c r="H7" s="4"/>
      <c r="I7" s="4"/>
      <c r="J7" s="4"/>
      <c r="K7" s="4" t="s">
        <v>33</v>
      </c>
    </row>
    <row r="8" customFormat="false" ht="32.8" hidden="false" customHeight="false" outlineLevel="0" collapsed="false">
      <c r="A8" s="5" t="n">
        <v>6</v>
      </c>
      <c r="B8" s="5" t="s">
        <v>29</v>
      </c>
      <c r="C8" s="5" t="s">
        <v>34</v>
      </c>
      <c r="D8" s="6" t="s">
        <v>35</v>
      </c>
      <c r="E8" s="6" t="s">
        <v>36</v>
      </c>
      <c r="F8" s="6"/>
      <c r="G8" s="6"/>
      <c r="H8" s="6"/>
      <c r="I8" s="6"/>
      <c r="J8" s="6"/>
      <c r="K8" s="6" t="s">
        <v>37</v>
      </c>
    </row>
    <row r="9" customFormat="false" ht="43.25" hidden="false" customHeight="false" outlineLevel="0" collapsed="false">
      <c r="A9" s="3" t="n">
        <v>7</v>
      </c>
      <c r="B9" s="3" t="s">
        <v>29</v>
      </c>
      <c r="C9" s="3" t="s">
        <v>38</v>
      </c>
      <c r="D9" s="4" t="s">
        <v>39</v>
      </c>
      <c r="E9" s="4" t="s">
        <v>40</v>
      </c>
      <c r="F9" s="4"/>
      <c r="G9" s="4"/>
      <c r="H9" s="4"/>
      <c r="I9" s="4"/>
      <c r="J9" s="4"/>
      <c r="K9" s="4" t="s">
        <v>41</v>
      </c>
    </row>
    <row r="10" customFormat="false" ht="43.25" hidden="false" customHeight="false" outlineLevel="0" collapsed="false">
      <c r="A10" s="5" t="n">
        <v>8</v>
      </c>
      <c r="B10" s="5" t="s">
        <v>29</v>
      </c>
      <c r="C10" s="5" t="s">
        <v>42</v>
      </c>
      <c r="D10" s="6" t="s">
        <v>43</v>
      </c>
      <c r="E10" s="6" t="s">
        <v>44</v>
      </c>
      <c r="F10" s="6"/>
      <c r="G10" s="6"/>
      <c r="H10" s="6"/>
      <c r="I10" s="6"/>
      <c r="J10" s="6"/>
      <c r="K10" s="6" t="s">
        <v>45</v>
      </c>
    </row>
    <row r="11" customFormat="false" ht="15" hidden="false" customHeight="false" outlineLevel="0" collapsed="false">
      <c r="A11" s="2" t="s">
        <v>46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53.7" hidden="false" customHeight="false" outlineLevel="0" collapsed="false">
      <c r="A12" s="3" t="n">
        <v>9</v>
      </c>
      <c r="B12" s="3" t="s">
        <v>47</v>
      </c>
      <c r="C12" s="3" t="s">
        <v>48</v>
      </c>
      <c r="D12" s="4" t="s">
        <v>49</v>
      </c>
      <c r="E12" s="4" t="s">
        <v>50</v>
      </c>
      <c r="F12" s="4"/>
      <c r="G12" s="4"/>
      <c r="H12" s="4"/>
      <c r="I12" s="4"/>
      <c r="J12" s="4"/>
      <c r="K12" s="4" t="s">
        <v>51</v>
      </c>
    </row>
    <row r="13" customFormat="false" ht="43.25" hidden="false" customHeight="false" outlineLevel="0" collapsed="false">
      <c r="A13" s="5" t="n">
        <v>10</v>
      </c>
      <c r="B13" s="5" t="s">
        <v>47</v>
      </c>
      <c r="C13" s="5" t="s">
        <v>52</v>
      </c>
      <c r="D13" s="6" t="s">
        <v>53</v>
      </c>
      <c r="E13" s="6" t="s">
        <v>54</v>
      </c>
      <c r="F13" s="6"/>
      <c r="G13" s="6"/>
      <c r="H13" s="6"/>
      <c r="I13" s="6"/>
      <c r="J13" s="6"/>
      <c r="K13" s="6" t="s">
        <v>55</v>
      </c>
    </row>
    <row r="14" customFormat="false" ht="53.7" hidden="false" customHeight="false" outlineLevel="0" collapsed="false">
      <c r="A14" s="3" t="n">
        <v>11</v>
      </c>
      <c r="B14" s="3" t="s">
        <v>47</v>
      </c>
      <c r="C14" s="3" t="s">
        <v>56</v>
      </c>
      <c r="D14" s="4" t="s">
        <v>57</v>
      </c>
      <c r="E14" s="4" t="s">
        <v>58</v>
      </c>
      <c r="F14" s="4"/>
      <c r="G14" s="4"/>
      <c r="H14" s="4"/>
      <c r="I14" s="4"/>
      <c r="J14" s="4"/>
      <c r="K14" s="4" t="s">
        <v>59</v>
      </c>
    </row>
    <row r="15" customFormat="false" ht="32.8" hidden="false" customHeight="false" outlineLevel="0" collapsed="false">
      <c r="A15" s="5" t="n">
        <v>12</v>
      </c>
      <c r="B15" s="5" t="s">
        <v>47</v>
      </c>
      <c r="C15" s="5" t="s">
        <v>60</v>
      </c>
      <c r="D15" s="6" t="s">
        <v>61</v>
      </c>
      <c r="E15" s="6" t="s">
        <v>62</v>
      </c>
      <c r="F15" s="6"/>
      <c r="G15" s="6"/>
      <c r="H15" s="6"/>
      <c r="I15" s="6"/>
      <c r="J15" s="6"/>
      <c r="K15" s="6" t="s">
        <v>63</v>
      </c>
    </row>
    <row r="16" customFormat="false" ht="43.25" hidden="false" customHeight="false" outlineLevel="0" collapsed="false">
      <c r="A16" s="3" t="n">
        <v>13</v>
      </c>
      <c r="B16" s="3" t="s">
        <v>47</v>
      </c>
      <c r="C16" s="3" t="s">
        <v>64</v>
      </c>
      <c r="D16" s="4" t="s">
        <v>65</v>
      </c>
      <c r="E16" s="4" t="s">
        <v>66</v>
      </c>
      <c r="F16" s="4"/>
      <c r="G16" s="4"/>
      <c r="H16" s="4"/>
      <c r="I16" s="4"/>
      <c r="J16" s="4"/>
      <c r="K16" s="4" t="s">
        <v>67</v>
      </c>
    </row>
    <row r="17" customFormat="false" ht="43.25" hidden="false" customHeight="false" outlineLevel="0" collapsed="false">
      <c r="A17" s="5" t="n">
        <v>14</v>
      </c>
      <c r="B17" s="5" t="s">
        <v>47</v>
      </c>
      <c r="C17" s="5" t="s">
        <v>68</v>
      </c>
      <c r="D17" s="6" t="s">
        <v>69</v>
      </c>
      <c r="E17" s="6" t="s">
        <v>70</v>
      </c>
      <c r="F17" s="6"/>
      <c r="G17" s="6"/>
      <c r="H17" s="6"/>
      <c r="I17" s="6"/>
      <c r="J17" s="6"/>
      <c r="K17" s="6" t="s">
        <v>71</v>
      </c>
    </row>
    <row r="18" customFormat="false" ht="15" hidden="false" customHeight="false" outlineLevel="0" collapsed="false">
      <c r="A18" s="2" t="s">
        <v>72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43.25" hidden="false" customHeight="false" outlineLevel="0" collapsed="false">
      <c r="A19" s="3" t="n">
        <v>15</v>
      </c>
      <c r="B19" s="3" t="s">
        <v>73</v>
      </c>
      <c r="C19" s="3" t="s">
        <v>74</v>
      </c>
      <c r="D19" s="4" t="s">
        <v>75</v>
      </c>
      <c r="E19" s="4" t="s">
        <v>76</v>
      </c>
      <c r="F19" s="4"/>
      <c r="G19" s="4"/>
      <c r="H19" s="4"/>
      <c r="I19" s="4"/>
      <c r="J19" s="4"/>
      <c r="K19" s="4" t="s">
        <v>77</v>
      </c>
    </row>
    <row r="20" customFormat="false" ht="43.25" hidden="false" customHeight="false" outlineLevel="0" collapsed="false">
      <c r="A20" s="5" t="n">
        <v>16</v>
      </c>
      <c r="B20" s="5" t="s">
        <v>73</v>
      </c>
      <c r="C20" s="5" t="s">
        <v>78</v>
      </c>
      <c r="D20" s="6" t="s">
        <v>79</v>
      </c>
      <c r="E20" s="6" t="s">
        <v>80</v>
      </c>
      <c r="F20" s="6"/>
      <c r="G20" s="6"/>
      <c r="H20" s="6"/>
      <c r="I20" s="6"/>
      <c r="J20" s="6"/>
      <c r="K20" s="6" t="s">
        <v>81</v>
      </c>
    </row>
    <row r="21" customFormat="false" ht="32.8" hidden="false" customHeight="false" outlineLevel="0" collapsed="false">
      <c r="A21" s="3" t="n">
        <v>17</v>
      </c>
      <c r="B21" s="3" t="s">
        <v>73</v>
      </c>
      <c r="C21" s="3" t="s">
        <v>82</v>
      </c>
      <c r="D21" s="4" t="s">
        <v>83</v>
      </c>
      <c r="E21" s="4" t="s">
        <v>84</v>
      </c>
      <c r="F21" s="4"/>
      <c r="G21" s="4"/>
      <c r="H21" s="4"/>
      <c r="I21" s="4"/>
      <c r="J21" s="4"/>
      <c r="K21" s="4" t="s">
        <v>85</v>
      </c>
    </row>
    <row r="22" customFormat="false" ht="43.25" hidden="false" customHeight="false" outlineLevel="0" collapsed="false">
      <c r="A22" s="5" t="n">
        <v>18</v>
      </c>
      <c r="B22" s="5" t="s">
        <v>73</v>
      </c>
      <c r="C22" s="5" t="s">
        <v>86</v>
      </c>
      <c r="D22" s="6" t="s">
        <v>87</v>
      </c>
      <c r="E22" s="6" t="s">
        <v>88</v>
      </c>
      <c r="F22" s="6"/>
      <c r="G22" s="6"/>
      <c r="H22" s="6"/>
      <c r="I22" s="6"/>
      <c r="J22" s="6"/>
      <c r="K22" s="6" t="s">
        <v>89</v>
      </c>
    </row>
    <row r="23" customFormat="false" ht="32.8" hidden="false" customHeight="false" outlineLevel="0" collapsed="false">
      <c r="A23" s="3" t="n">
        <v>19</v>
      </c>
      <c r="B23" s="3" t="s">
        <v>73</v>
      </c>
      <c r="C23" s="3" t="s">
        <v>90</v>
      </c>
      <c r="D23" s="4" t="s">
        <v>91</v>
      </c>
      <c r="E23" s="4" t="s">
        <v>92</v>
      </c>
      <c r="F23" s="4"/>
      <c r="G23" s="4"/>
      <c r="H23" s="4"/>
      <c r="I23" s="4"/>
      <c r="J23" s="4"/>
      <c r="K23" s="4" t="s">
        <v>93</v>
      </c>
    </row>
    <row r="24" customFormat="false" ht="15" hidden="false" customHeight="false" outlineLevel="0" collapsed="false">
      <c r="A24" s="2" t="s">
        <v>94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43.25" hidden="false" customHeight="false" outlineLevel="0" collapsed="false">
      <c r="A25" s="5" t="n">
        <v>20</v>
      </c>
      <c r="B25" s="5" t="s">
        <v>95</v>
      </c>
      <c r="C25" s="5" t="s">
        <v>96</v>
      </c>
      <c r="D25" s="6" t="s">
        <v>97</v>
      </c>
      <c r="E25" s="6" t="s">
        <v>98</v>
      </c>
      <c r="F25" s="6"/>
      <c r="G25" s="6"/>
      <c r="H25" s="6"/>
      <c r="I25" s="6"/>
      <c r="J25" s="6"/>
      <c r="K25" s="6" t="s">
        <v>99</v>
      </c>
    </row>
    <row r="26" customFormat="false" ht="43.25" hidden="false" customHeight="false" outlineLevel="0" collapsed="false">
      <c r="A26" s="3" t="n">
        <v>21</v>
      </c>
      <c r="B26" s="3" t="s">
        <v>95</v>
      </c>
      <c r="C26" s="3" t="s">
        <v>100</v>
      </c>
      <c r="D26" s="4" t="s">
        <v>101</v>
      </c>
      <c r="E26" s="4" t="s">
        <v>102</v>
      </c>
      <c r="F26" s="4"/>
      <c r="G26" s="4"/>
      <c r="H26" s="4"/>
      <c r="I26" s="4"/>
      <c r="J26" s="4"/>
      <c r="K26" s="4" t="s">
        <v>103</v>
      </c>
    </row>
    <row r="27" customFormat="false" ht="43.25" hidden="false" customHeight="false" outlineLevel="0" collapsed="false">
      <c r="A27" s="5" t="n">
        <v>22</v>
      </c>
      <c r="B27" s="5" t="s">
        <v>95</v>
      </c>
      <c r="C27" s="5" t="s">
        <v>104</v>
      </c>
      <c r="D27" s="6" t="s">
        <v>105</v>
      </c>
      <c r="E27" s="6" t="s">
        <v>106</v>
      </c>
      <c r="F27" s="6"/>
      <c r="G27" s="6"/>
      <c r="H27" s="6"/>
      <c r="I27" s="6"/>
      <c r="J27" s="6"/>
      <c r="K27" s="6" t="s">
        <v>107</v>
      </c>
    </row>
    <row r="28" customFormat="false" ht="32.8" hidden="false" customHeight="false" outlineLevel="0" collapsed="false">
      <c r="A28" s="3" t="n">
        <v>23</v>
      </c>
      <c r="B28" s="3" t="s">
        <v>95</v>
      </c>
      <c r="C28" s="3" t="s">
        <v>108</v>
      </c>
      <c r="D28" s="4" t="s">
        <v>109</v>
      </c>
      <c r="E28" s="4" t="s">
        <v>110</v>
      </c>
      <c r="F28" s="4"/>
      <c r="G28" s="4"/>
      <c r="H28" s="4"/>
      <c r="I28" s="4"/>
      <c r="J28" s="4"/>
      <c r="K28" s="4" t="s">
        <v>111</v>
      </c>
    </row>
    <row r="29" customFormat="false" ht="43.25" hidden="false" customHeight="false" outlineLevel="0" collapsed="false">
      <c r="A29" s="5" t="n">
        <v>24</v>
      </c>
      <c r="B29" s="5" t="s">
        <v>95</v>
      </c>
      <c r="C29" s="5" t="s">
        <v>112</v>
      </c>
      <c r="D29" s="6" t="s">
        <v>113</v>
      </c>
      <c r="E29" s="6" t="s">
        <v>114</v>
      </c>
      <c r="F29" s="6"/>
      <c r="G29" s="6"/>
      <c r="H29" s="6"/>
      <c r="I29" s="6"/>
      <c r="J29" s="6"/>
      <c r="K29" s="6" t="s">
        <v>115</v>
      </c>
    </row>
    <row r="30" customFormat="false" ht="15" hidden="false" customHeight="false" outlineLevel="0" collapsed="false">
      <c r="A30" s="2" t="s">
        <v>116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43.25" hidden="false" customHeight="false" outlineLevel="0" collapsed="false">
      <c r="A31" s="3" t="n">
        <v>25</v>
      </c>
      <c r="B31" s="3" t="s">
        <v>117</v>
      </c>
      <c r="C31" s="3" t="s">
        <v>118</v>
      </c>
      <c r="D31" s="4" t="s">
        <v>119</v>
      </c>
      <c r="E31" s="4" t="s">
        <v>120</v>
      </c>
      <c r="F31" s="4"/>
      <c r="G31" s="4"/>
      <c r="H31" s="4"/>
      <c r="I31" s="4"/>
      <c r="J31" s="4"/>
      <c r="K31" s="4" t="s">
        <v>121</v>
      </c>
    </row>
    <row r="32" customFormat="false" ht="32.8" hidden="false" customHeight="false" outlineLevel="0" collapsed="false">
      <c r="A32" s="5" t="n">
        <v>26</v>
      </c>
      <c r="B32" s="5" t="s">
        <v>117</v>
      </c>
      <c r="C32" s="5" t="s">
        <v>122</v>
      </c>
      <c r="D32" s="6" t="s">
        <v>123</v>
      </c>
      <c r="E32" s="6" t="s">
        <v>124</v>
      </c>
      <c r="F32" s="6"/>
      <c r="G32" s="6"/>
      <c r="H32" s="6"/>
      <c r="I32" s="6"/>
      <c r="J32" s="6"/>
      <c r="K32" s="6" t="s">
        <v>121</v>
      </c>
    </row>
    <row r="33" customFormat="false" ht="43.25" hidden="false" customHeight="false" outlineLevel="0" collapsed="false">
      <c r="A33" s="3" t="n">
        <v>27</v>
      </c>
      <c r="B33" s="3" t="s">
        <v>117</v>
      </c>
      <c r="C33" s="3" t="s">
        <v>125</v>
      </c>
      <c r="D33" s="4" t="s">
        <v>126</v>
      </c>
      <c r="E33" s="4" t="s">
        <v>127</v>
      </c>
      <c r="F33" s="4"/>
      <c r="G33" s="4"/>
      <c r="H33" s="4"/>
      <c r="I33" s="4"/>
      <c r="J33" s="4"/>
      <c r="K33" s="4" t="s">
        <v>128</v>
      </c>
    </row>
    <row r="34" customFormat="false" ht="43.25" hidden="false" customHeight="false" outlineLevel="0" collapsed="false">
      <c r="A34" s="5" t="n">
        <v>28</v>
      </c>
      <c r="B34" s="5" t="s">
        <v>129</v>
      </c>
      <c r="C34" s="5" t="s">
        <v>130</v>
      </c>
      <c r="D34" s="6" t="s">
        <v>131</v>
      </c>
      <c r="E34" s="6" t="s">
        <v>132</v>
      </c>
      <c r="F34" s="6"/>
      <c r="G34" s="6"/>
      <c r="H34" s="6"/>
      <c r="I34" s="6"/>
      <c r="J34" s="6"/>
      <c r="K34" s="6" t="s">
        <v>133</v>
      </c>
    </row>
    <row r="35" customFormat="false" ht="32.8" hidden="false" customHeight="false" outlineLevel="0" collapsed="false">
      <c r="A35" s="3" t="n">
        <v>29</v>
      </c>
      <c r="B35" s="3" t="s">
        <v>129</v>
      </c>
      <c r="C35" s="3" t="s">
        <v>134</v>
      </c>
      <c r="D35" s="4" t="s">
        <v>135</v>
      </c>
      <c r="E35" s="4" t="s">
        <v>136</v>
      </c>
      <c r="F35" s="4"/>
      <c r="G35" s="4"/>
      <c r="H35" s="4"/>
      <c r="I35" s="4"/>
      <c r="J35" s="4"/>
      <c r="K35" s="4" t="s">
        <v>121</v>
      </c>
    </row>
    <row r="36" customFormat="false" ht="15" hidden="false" customHeight="false" outlineLevel="0" collapsed="false">
      <c r="A36" s="2" t="s">
        <v>137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53.7" hidden="false" customHeight="false" outlineLevel="0" collapsed="false">
      <c r="A37" s="5" t="n">
        <v>30</v>
      </c>
      <c r="B37" s="5" t="s">
        <v>138</v>
      </c>
      <c r="C37" s="5" t="s">
        <v>139</v>
      </c>
      <c r="D37" s="6" t="s">
        <v>140</v>
      </c>
      <c r="E37" s="6" t="s">
        <v>141</v>
      </c>
      <c r="F37" s="6"/>
      <c r="G37" s="6"/>
      <c r="H37" s="6"/>
      <c r="I37" s="6"/>
      <c r="J37" s="6"/>
      <c r="K37" s="6" t="s">
        <v>142</v>
      </c>
    </row>
    <row r="38" customFormat="false" ht="43.25" hidden="false" customHeight="false" outlineLevel="0" collapsed="false">
      <c r="A38" s="3" t="n">
        <v>31</v>
      </c>
      <c r="B38" s="3" t="s">
        <v>138</v>
      </c>
      <c r="C38" s="3" t="s">
        <v>143</v>
      </c>
      <c r="D38" s="4" t="s">
        <v>144</v>
      </c>
      <c r="E38" s="4" t="s">
        <v>145</v>
      </c>
      <c r="F38" s="4"/>
      <c r="G38" s="4"/>
      <c r="H38" s="4"/>
      <c r="I38" s="4"/>
      <c r="J38" s="4"/>
      <c r="K38" s="4" t="s">
        <v>146</v>
      </c>
    </row>
    <row r="39" customFormat="false" ht="32.8" hidden="false" customHeight="false" outlineLevel="0" collapsed="false">
      <c r="A39" s="5" t="n">
        <v>32</v>
      </c>
      <c r="B39" s="5" t="s">
        <v>138</v>
      </c>
      <c r="C39" s="5" t="s">
        <v>147</v>
      </c>
      <c r="D39" s="6" t="s">
        <v>148</v>
      </c>
      <c r="E39" s="6" t="s">
        <v>149</v>
      </c>
      <c r="F39" s="6"/>
      <c r="G39" s="6"/>
      <c r="H39" s="6"/>
      <c r="I39" s="6"/>
      <c r="J39" s="6"/>
      <c r="K39" s="6" t="s">
        <v>150</v>
      </c>
    </row>
    <row r="40" customFormat="false" ht="43.25" hidden="false" customHeight="false" outlineLevel="0" collapsed="false">
      <c r="A40" s="3" t="n">
        <v>33</v>
      </c>
      <c r="B40" s="3" t="s">
        <v>138</v>
      </c>
      <c r="C40" s="3" t="s">
        <v>151</v>
      </c>
      <c r="D40" s="4" t="s">
        <v>152</v>
      </c>
      <c r="E40" s="4" t="s">
        <v>153</v>
      </c>
      <c r="F40" s="4"/>
      <c r="G40" s="4"/>
      <c r="H40" s="4"/>
      <c r="I40" s="4"/>
      <c r="J40" s="4"/>
      <c r="K40" s="4" t="s">
        <v>154</v>
      </c>
    </row>
    <row r="41" customFormat="false" ht="15" hidden="false" customHeight="false" outlineLevel="0" collapsed="false">
      <c r="A41" s="2" t="s">
        <v>155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43.25" hidden="false" customHeight="false" outlineLevel="0" collapsed="false">
      <c r="A42" s="5" t="n">
        <v>34</v>
      </c>
      <c r="B42" s="5" t="s">
        <v>156</v>
      </c>
      <c r="C42" s="5" t="s">
        <v>157</v>
      </c>
      <c r="D42" s="6" t="s">
        <v>158</v>
      </c>
      <c r="E42" s="6" t="s">
        <v>159</v>
      </c>
      <c r="F42" s="6"/>
      <c r="G42" s="6"/>
      <c r="H42" s="6"/>
      <c r="I42" s="6"/>
      <c r="J42" s="6"/>
      <c r="K42" s="6" t="s">
        <v>160</v>
      </c>
    </row>
    <row r="43" customFormat="false" ht="32.8" hidden="false" customHeight="false" outlineLevel="0" collapsed="false">
      <c r="A43" s="3" t="n">
        <v>35</v>
      </c>
      <c r="B43" s="3" t="s">
        <v>156</v>
      </c>
      <c r="C43" s="3" t="s">
        <v>161</v>
      </c>
      <c r="D43" s="4" t="s">
        <v>162</v>
      </c>
      <c r="E43" s="4" t="s">
        <v>163</v>
      </c>
      <c r="F43" s="4"/>
      <c r="G43" s="4"/>
      <c r="H43" s="4"/>
      <c r="I43" s="4"/>
      <c r="J43" s="4"/>
      <c r="K43" s="4" t="s">
        <v>164</v>
      </c>
    </row>
    <row r="44" customFormat="false" ht="32.8" hidden="false" customHeight="false" outlineLevel="0" collapsed="false">
      <c r="A44" s="5" t="n">
        <v>36</v>
      </c>
      <c r="B44" s="5" t="s">
        <v>156</v>
      </c>
      <c r="C44" s="5" t="s">
        <v>165</v>
      </c>
      <c r="D44" s="6" t="s">
        <v>166</v>
      </c>
      <c r="E44" s="6" t="s">
        <v>167</v>
      </c>
      <c r="F44" s="6"/>
      <c r="G44" s="6"/>
      <c r="H44" s="6"/>
      <c r="I44" s="6"/>
      <c r="J44" s="6"/>
      <c r="K44" s="6" t="s">
        <v>168</v>
      </c>
    </row>
    <row r="45" customFormat="false" ht="32.8" hidden="false" customHeight="false" outlineLevel="0" collapsed="false">
      <c r="A45" s="3" t="n">
        <v>37</v>
      </c>
      <c r="B45" s="3" t="s">
        <v>156</v>
      </c>
      <c r="C45" s="3" t="s">
        <v>169</v>
      </c>
      <c r="D45" s="4" t="s">
        <v>170</v>
      </c>
      <c r="E45" s="4" t="s">
        <v>171</v>
      </c>
      <c r="F45" s="4"/>
      <c r="G45" s="4"/>
      <c r="H45" s="4"/>
      <c r="I45" s="4"/>
      <c r="J45" s="4"/>
      <c r="K45" s="4" t="s">
        <v>172</v>
      </c>
    </row>
    <row r="46" customFormat="false" ht="43.25" hidden="false" customHeight="false" outlineLevel="0" collapsed="false">
      <c r="A46" s="5" t="n">
        <v>38</v>
      </c>
      <c r="B46" s="5" t="s">
        <v>156</v>
      </c>
      <c r="C46" s="5" t="s">
        <v>173</v>
      </c>
      <c r="D46" s="6" t="s">
        <v>174</v>
      </c>
      <c r="E46" s="6" t="s">
        <v>175</v>
      </c>
      <c r="F46" s="6"/>
      <c r="G46" s="6"/>
      <c r="H46" s="6"/>
      <c r="I46" s="6"/>
      <c r="J46" s="6"/>
      <c r="K46" s="6" t="s">
        <v>176</v>
      </c>
    </row>
    <row r="47" customFormat="false" ht="43.25" hidden="false" customHeight="false" outlineLevel="0" collapsed="false">
      <c r="A47" s="3" t="n">
        <v>39</v>
      </c>
      <c r="B47" s="3" t="s">
        <v>156</v>
      </c>
      <c r="C47" s="3" t="s">
        <v>177</v>
      </c>
      <c r="D47" s="4" t="s">
        <v>178</v>
      </c>
      <c r="E47" s="4" t="s">
        <v>179</v>
      </c>
      <c r="F47" s="4"/>
      <c r="G47" s="4"/>
      <c r="H47" s="4"/>
      <c r="I47" s="4"/>
      <c r="J47" s="4"/>
      <c r="K47" s="4" t="s">
        <v>180</v>
      </c>
    </row>
    <row r="48" customFormat="false" ht="32.8" hidden="false" customHeight="false" outlineLevel="0" collapsed="false">
      <c r="A48" s="5" t="n">
        <v>40</v>
      </c>
      <c r="B48" s="5" t="s">
        <v>156</v>
      </c>
      <c r="C48" s="5" t="s">
        <v>181</v>
      </c>
      <c r="D48" s="6" t="s">
        <v>182</v>
      </c>
      <c r="E48" s="6" t="s">
        <v>183</v>
      </c>
      <c r="F48" s="6"/>
      <c r="G48" s="6"/>
      <c r="H48" s="6"/>
      <c r="I48" s="6"/>
      <c r="J48" s="6"/>
      <c r="K48" s="6" t="s">
        <v>184</v>
      </c>
    </row>
  </sheetData>
  <mergeCells count="7">
    <mergeCell ref="A2:K2"/>
    <mergeCell ref="A11:K11"/>
    <mergeCell ref="A18:K18"/>
    <mergeCell ref="A24:K24"/>
    <mergeCell ref="A30:K30"/>
    <mergeCell ref="A36:K36"/>
    <mergeCell ref="A41:K41"/>
  </mergeCells>
  <conditionalFormatting sqref="G2:G48">
    <cfRule type="cellIs" priority="2" operator="equal" aboveAverage="0" equalAverage="0" bottom="0" percent="0" rank="0" text="" dxfId="0">
      <formula>"Strong (4-5)"</formula>
    </cfRule>
    <cfRule type="cellIs" priority="3" operator="equal" aboveAverage="0" equalAverage="0" bottom="0" percent="0" rank="0" text="" dxfId="1">
      <formula>"Average (3)"</formula>
    </cfRule>
    <cfRule type="cellIs" priority="4" operator="equal" aboveAverage="0" equalAverage="0" bottom="0" percent="0" rank="0" text="" dxfId="2">
      <formula>"Weak (1-2)"</formula>
    </cfRule>
    <cfRule type="cellIs" priority="5" operator="equal" aboveAverage="0" equalAverage="0" bottom="0" percent="0" rank="0" text="" dxfId="3">
      <formula>"Critical Gap"</formula>
    </cfRule>
  </conditionalFormatting>
  <conditionalFormatting sqref="H2:H48">
    <cfRule type="cellIs" priority="6" operator="equal" aboveAverage="0" equalAverage="0" bottom="0" percent="0" rank="0" text="" dxfId="4">
      <formula>"P0 (Urgent)"</formula>
    </cfRule>
    <cfRule type="cellIs" priority="7" operator="equal" aboveAverage="0" equalAverage="0" bottom="0" percent="0" rank="0" text="" dxfId="5">
      <formula>"P1 (High)"</formula>
    </cfRule>
    <cfRule type="cellIs" priority="8" operator="equal" aboveAverage="0" equalAverage="0" bottom="0" percent="0" rank="0" text="" dxfId="6">
      <formula>"P2 (Medium)"</formula>
    </cfRule>
    <cfRule type="cellIs" priority="9" operator="equal" aboveAverage="0" equalAverage="0" bottom="0" percent="0" rank="0" text="" dxfId="7">
      <formula>"OK"</formula>
    </cfRule>
  </conditionalFormatting>
  <dataValidations count="3">
    <dataValidation allowBlank="true" errorStyle="stop" operator="between" showDropDown="false" showErrorMessage="false" showInputMessage="false" sqref="F2:F48" type="list">
      <formula1>"1,2,3,4,5"</formula1>
      <formula2>0</formula2>
    </dataValidation>
    <dataValidation allowBlank="true" errorStyle="stop" operator="between" showDropDown="false" showErrorMessage="false" showInputMessage="false" sqref="G2:G48" type="list">
      <formula1>"Strong (4-5),Average (3),Weak (1-2),Critical Gap"</formula1>
      <formula2>0</formula2>
    </dataValidation>
    <dataValidation allowBlank="true" errorStyle="stop" operator="between" showDropDown="false" showErrorMessage="false" showInputMessage="false" sqref="H2:H48" type="list">
      <formula1>"P0 (Urgent),P1 (High),P2 (Medium),P3 (Low),OK"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23.85" hidden="false" customHeight="false" outlineLevel="0" collapsed="false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 customFormat="false" ht="15" hidden="false" customHeight="false" outlineLevel="0" collapsed="false">
      <c r="A2" s="5" t="s">
        <v>194</v>
      </c>
      <c r="B2" s="5" t="n">
        <v>15</v>
      </c>
      <c r="C2" s="5"/>
      <c r="D2" s="6" t="n">
        <f aca="false">C2*B2/5</f>
        <v>0</v>
      </c>
      <c r="E2" s="6" t="n">
        <v>3.5</v>
      </c>
      <c r="F2" s="6" t="n">
        <v>4.5</v>
      </c>
      <c r="G2" s="6" t="str">
        <f aca="false">IF(C2="","",IF(C2&gt;=E2,"PASS","GAP"))</f>
        <v/>
      </c>
      <c r="H2" s="6" t="str">
        <f aca="false">IF(C2="","",IF(C2&gt;=F2,"PASS","GAP"))</f>
        <v/>
      </c>
      <c r="I2" s="6"/>
    </row>
    <row r="3" customFormat="false" ht="15" hidden="false" customHeight="false" outlineLevel="0" collapsed="false">
      <c r="A3" s="3" t="s">
        <v>195</v>
      </c>
      <c r="B3" s="3" t="n">
        <v>12</v>
      </c>
      <c r="C3" s="3"/>
      <c r="D3" s="4" t="n">
        <f aca="false">C3*B3/5</f>
        <v>0</v>
      </c>
      <c r="E3" s="4" t="n">
        <v>3.5</v>
      </c>
      <c r="F3" s="4" t="n">
        <v>4.5</v>
      </c>
      <c r="G3" s="4" t="str">
        <f aca="false">IF(C3="","",IF(C3&gt;=E3,"PASS","GAP"))</f>
        <v/>
      </c>
      <c r="H3" s="4" t="str">
        <f aca="false">IF(C3="","",IF(C3&gt;=F3,"PASS","GAP"))</f>
        <v/>
      </c>
      <c r="I3" s="4"/>
    </row>
    <row r="4" customFormat="false" ht="15" hidden="false" customHeight="false" outlineLevel="0" collapsed="false">
      <c r="A4" s="5" t="s">
        <v>196</v>
      </c>
      <c r="B4" s="5" t="n">
        <v>10</v>
      </c>
      <c r="C4" s="5"/>
      <c r="D4" s="6" t="n">
        <f aca="false">C4*B4/5</f>
        <v>0</v>
      </c>
      <c r="E4" s="6" t="n">
        <v>3.5</v>
      </c>
      <c r="F4" s="6" t="n">
        <v>4</v>
      </c>
      <c r="G4" s="6" t="str">
        <f aca="false">IF(C4="","",IF(C4&gt;=E4,"PASS","GAP"))</f>
        <v/>
      </c>
      <c r="H4" s="6" t="str">
        <f aca="false">IF(C4="","",IF(C4&gt;=F4,"PASS","GAP"))</f>
        <v/>
      </c>
      <c r="I4" s="6"/>
    </row>
    <row r="5" customFormat="false" ht="15" hidden="false" customHeight="false" outlineLevel="0" collapsed="false">
      <c r="A5" s="3" t="s">
        <v>197</v>
      </c>
      <c r="B5" s="3" t="n">
        <v>12</v>
      </c>
      <c r="C5" s="3"/>
      <c r="D5" s="4" t="n">
        <f aca="false">C5*B5/5</f>
        <v>0</v>
      </c>
      <c r="E5" s="4" t="n">
        <v>3.5</v>
      </c>
      <c r="F5" s="4" t="n">
        <v>4.5</v>
      </c>
      <c r="G5" s="4" t="str">
        <f aca="false">IF(C5="","",IF(C5&gt;=E5,"PASS","GAP"))</f>
        <v/>
      </c>
      <c r="H5" s="4" t="str">
        <f aca="false">IF(C5="","",IF(C5&gt;=F5,"PASS","GAP"))</f>
        <v/>
      </c>
      <c r="I5" s="4"/>
    </row>
    <row r="6" customFormat="false" ht="15" hidden="false" customHeight="false" outlineLevel="0" collapsed="false">
      <c r="A6" s="5" t="s">
        <v>198</v>
      </c>
      <c r="B6" s="5" t="n">
        <v>15</v>
      </c>
      <c r="C6" s="5"/>
      <c r="D6" s="6" t="n">
        <f aca="false">C6*B6/5</f>
        <v>0</v>
      </c>
      <c r="E6" s="6" t="n">
        <v>3</v>
      </c>
      <c r="F6" s="6" t="n">
        <v>4.5</v>
      </c>
      <c r="G6" s="6" t="str">
        <f aca="false">IF(C6="","",IF(C6&gt;=E6,"PASS","GAP"))</f>
        <v/>
      </c>
      <c r="H6" s="6" t="str">
        <f aca="false">IF(C6="","",IF(C6&gt;=F6,"PASS","GAP"))</f>
        <v/>
      </c>
      <c r="I6" s="6"/>
    </row>
    <row r="7" customFormat="false" ht="15" hidden="false" customHeight="false" outlineLevel="0" collapsed="false">
      <c r="A7" s="3" t="s">
        <v>100</v>
      </c>
      <c r="B7" s="3" t="n">
        <v>10</v>
      </c>
      <c r="C7" s="3"/>
      <c r="D7" s="4" t="n">
        <f aca="false">C7*B7/5</f>
        <v>0</v>
      </c>
      <c r="E7" s="4" t="n">
        <v>3</v>
      </c>
      <c r="F7" s="4" t="n">
        <v>4</v>
      </c>
      <c r="G7" s="4" t="str">
        <f aca="false">IF(C7="","",IF(C7&gt;=E7,"PASS","GAP"))</f>
        <v/>
      </c>
      <c r="H7" s="4" t="str">
        <f aca="false">IF(C7="","",IF(C7&gt;=F7,"PASS","GAP"))</f>
        <v/>
      </c>
      <c r="I7" s="4"/>
    </row>
    <row r="8" customFormat="false" ht="15" hidden="false" customHeight="false" outlineLevel="0" collapsed="false">
      <c r="A8" s="5" t="s">
        <v>199</v>
      </c>
      <c r="B8" s="5" t="n">
        <v>5</v>
      </c>
      <c r="C8" s="5"/>
      <c r="D8" s="6" t="n">
        <f aca="false">C8*B8/5</f>
        <v>0</v>
      </c>
      <c r="E8" s="6" t="n">
        <v>3</v>
      </c>
      <c r="F8" s="6" t="n">
        <v>3.5</v>
      </c>
      <c r="G8" s="6" t="str">
        <f aca="false">IF(C8="","",IF(C8&gt;=E8,"PASS","GAP"))</f>
        <v/>
      </c>
      <c r="H8" s="6" t="str">
        <f aca="false">IF(C8="","",IF(C8&gt;=F8,"PASS","GAP"))</f>
        <v/>
      </c>
      <c r="I8" s="6"/>
    </row>
    <row r="9" customFormat="false" ht="15" hidden="false" customHeight="false" outlineLevel="0" collapsed="false">
      <c r="A9" s="3" t="s">
        <v>200</v>
      </c>
      <c r="B9" s="3" t="n">
        <v>6</v>
      </c>
      <c r="C9" s="3"/>
      <c r="D9" s="4" t="n">
        <f aca="false">C9*B9/5</f>
        <v>0</v>
      </c>
      <c r="E9" s="4" t="n">
        <v>2.5</v>
      </c>
      <c r="F9" s="4" t="n">
        <v>3.5</v>
      </c>
      <c r="G9" s="4" t="str">
        <f aca="false">IF(C9="","",IF(C9&gt;=E9,"PASS","GAP"))</f>
        <v/>
      </c>
      <c r="H9" s="4" t="str">
        <f aca="false">IF(C9="","",IF(C9&gt;=F9,"PASS","GAP"))</f>
        <v/>
      </c>
      <c r="I9" s="4"/>
    </row>
    <row r="10" customFormat="false" ht="15" hidden="false" customHeight="false" outlineLevel="0" collapsed="false">
      <c r="A10" s="5" t="s">
        <v>201</v>
      </c>
      <c r="B10" s="5" t="n">
        <v>5</v>
      </c>
      <c r="C10" s="5"/>
      <c r="D10" s="6" t="n">
        <f aca="false">C10*B10/5</f>
        <v>0</v>
      </c>
      <c r="E10" s="6" t="n">
        <v>2</v>
      </c>
      <c r="F10" s="6" t="n">
        <v>3</v>
      </c>
      <c r="G10" s="6" t="str">
        <f aca="false">IF(C10="","",IF(C10&gt;=E10,"PASS","GAP"))</f>
        <v/>
      </c>
      <c r="H10" s="6" t="str">
        <f aca="false">IF(C10="","",IF(C10&gt;=F10,"PASS","GAP"))</f>
        <v/>
      </c>
      <c r="I10" s="6"/>
    </row>
    <row r="11" customFormat="false" ht="15" hidden="false" customHeight="false" outlineLevel="0" collapsed="false">
      <c r="A11" s="3" t="s">
        <v>202</v>
      </c>
      <c r="B11" s="3" t="n">
        <v>10</v>
      </c>
      <c r="C11" s="3"/>
      <c r="D11" s="4" t="n">
        <f aca="false">C11*B11/5</f>
        <v>0</v>
      </c>
      <c r="E11" s="4" t="n">
        <v>3.5</v>
      </c>
      <c r="F11" s="4" t="n">
        <v>4.5</v>
      </c>
      <c r="G11" s="4" t="str">
        <f aca="false">IF(C11="","",IF(C11&gt;=E11,"PASS","GAP"))</f>
        <v/>
      </c>
      <c r="H11" s="4" t="str">
        <f aca="false">IF(C11="","",IF(C11&gt;=F11,"PASS","GAP"))</f>
        <v/>
      </c>
      <c r="I11" s="4"/>
    </row>
    <row r="13" customFormat="false" ht="15" hidden="false" customHeight="false" outlineLevel="0" collapsed="false">
      <c r="A13" s="7" t="s">
        <v>203</v>
      </c>
      <c r="B13" s="7" t="n">
        <f aca="false">SUM(B2:B11)</f>
        <v>100</v>
      </c>
      <c r="D13" s="7" t="n">
        <f aca="false">SUM(D2:D11)</f>
        <v>0</v>
      </c>
      <c r="E13" s="7" t="s">
        <v>204</v>
      </c>
      <c r="F13" s="7" t="s">
        <v>205</v>
      </c>
      <c r="G13" s="8" t="str">
        <f aca="false">IF(D13="","",IF(D13&gt;=60,"SDE-2 READY","NOT READY"))</f>
        <v>NOT READY</v>
      </c>
      <c r="H13" s="8" t="str">
        <f aca="false">IF(D13="","",IF(D13&gt;=75,"SDE-3 READY","NOT READY"))</f>
        <v>NOT READY</v>
      </c>
    </row>
    <row r="15" customFormat="false" ht="22.35" hidden="false" customHeight="true" outlineLevel="0" collapsed="false">
      <c r="A15" s="9" t="s">
        <v>206</v>
      </c>
      <c r="B15" s="9"/>
      <c r="C15" s="9"/>
      <c r="D15" s="9"/>
      <c r="E15" s="9"/>
      <c r="F15" s="9"/>
      <c r="G15" s="9"/>
      <c r="H15" s="9"/>
      <c r="I15" s="9"/>
    </row>
    <row r="17" customFormat="false" ht="22.35" hidden="false" customHeight="true" outlineLevel="0" collapsed="false">
      <c r="A17" s="10" t="s">
        <v>207</v>
      </c>
      <c r="B17" s="10"/>
      <c r="C17" s="10"/>
      <c r="D17" s="10"/>
      <c r="E17" s="10"/>
      <c r="F17" s="10"/>
      <c r="G17" s="10"/>
      <c r="H17" s="10"/>
      <c r="I17" s="10"/>
    </row>
  </sheetData>
  <mergeCells count="2">
    <mergeCell ref="A15:I15"/>
    <mergeCell ref="A17:I17"/>
  </mergeCells>
  <conditionalFormatting sqref="G2:G1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3">
      <formula>"GAP"</formula>
    </cfRule>
  </conditionalFormatting>
  <conditionalFormatting sqref="H2:H11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3">
      <formula>"GAP"</formula>
    </cfRule>
  </conditionalFormatting>
  <dataValidations count="1">
    <dataValidation allowBlank="true" errorStyle="stop" operator="between" showDropDown="false" showErrorMessage="false" showInputMessage="false" sqref="C2:C1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11" min="3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6" min="15" style="0" width="20"/>
  </cols>
  <sheetData>
    <row r="1" customFormat="false" ht="23.85" hidden="false" customHeight="false" outlineLevel="0" collapsed="false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</row>
    <row r="2" customFormat="false" ht="15" hidden="false" customHeight="false" outlineLevel="0" collapsed="false">
      <c r="A2" s="11" t="s">
        <v>224</v>
      </c>
      <c r="B2" s="11" t="s">
        <v>225</v>
      </c>
      <c r="C2" s="3"/>
      <c r="D2" s="4"/>
      <c r="E2" s="4"/>
      <c r="F2" s="4"/>
      <c r="G2" s="4"/>
      <c r="H2" s="4"/>
      <c r="I2" s="4"/>
      <c r="J2" s="4"/>
      <c r="K2" s="4"/>
      <c r="L2" s="4"/>
      <c r="M2" s="4" t="e">
        <f aca="false">ROUND(AVERAGE(C2:L2),1)</f>
        <v>#DIV/0!</v>
      </c>
      <c r="N2" s="4"/>
      <c r="O2" s="4"/>
      <c r="P2" s="4"/>
    </row>
    <row r="3" customFormat="false" ht="15" hidden="false" customHeight="false" outlineLevel="0" collapsed="false">
      <c r="A3" s="11" t="s">
        <v>226</v>
      </c>
      <c r="B3" s="11" t="s">
        <v>227</v>
      </c>
      <c r="C3" s="3"/>
      <c r="D3" s="4"/>
      <c r="E3" s="4"/>
      <c r="F3" s="4"/>
      <c r="G3" s="4"/>
      <c r="H3" s="4"/>
      <c r="I3" s="4"/>
      <c r="J3" s="4"/>
      <c r="K3" s="4"/>
      <c r="L3" s="4"/>
      <c r="M3" s="4" t="e">
        <f aca="false">ROUND(AVERAGE(C3:L3),1)</f>
        <v>#DIV/0!</v>
      </c>
      <c r="N3" s="4"/>
      <c r="O3" s="4"/>
      <c r="P3" s="4"/>
    </row>
    <row r="4" customFormat="false" ht="15" hidden="false" customHeight="false" outlineLevel="0" collapsed="false">
      <c r="A4" s="11" t="s">
        <v>228</v>
      </c>
      <c r="B4" s="11" t="s">
        <v>229</v>
      </c>
      <c r="C4" s="3"/>
      <c r="D4" s="4"/>
      <c r="E4" s="4"/>
      <c r="F4" s="4"/>
      <c r="G4" s="4"/>
      <c r="H4" s="4"/>
      <c r="I4" s="4"/>
      <c r="J4" s="4"/>
      <c r="K4" s="4"/>
      <c r="L4" s="4"/>
      <c r="M4" s="4" t="e">
        <f aca="false">ROUND(AVERAGE(C4:L4),1)</f>
        <v>#DIV/0!</v>
      </c>
      <c r="N4" s="4"/>
      <c r="O4" s="4"/>
      <c r="P4" s="4"/>
    </row>
    <row r="5" customFormat="false" ht="15" hidden="false" customHeight="false" outlineLevel="0" collapsed="false">
      <c r="A5" s="12" t="s">
        <v>230</v>
      </c>
      <c r="B5" s="12" t="s">
        <v>231</v>
      </c>
      <c r="C5" s="3"/>
      <c r="D5" s="4"/>
      <c r="E5" s="4"/>
      <c r="F5" s="4"/>
      <c r="G5" s="4"/>
      <c r="H5" s="4"/>
      <c r="I5" s="4"/>
      <c r="J5" s="4"/>
      <c r="K5" s="4"/>
      <c r="L5" s="4"/>
      <c r="M5" s="4" t="e">
        <f aca="false">ROUND(AVERAGE(C5:L5),1)</f>
        <v>#DIV/0!</v>
      </c>
      <c r="N5" s="4"/>
      <c r="O5" s="4"/>
      <c r="P5" s="4"/>
    </row>
    <row r="6" customFormat="false" ht="15" hidden="false" customHeight="false" outlineLevel="0" collapsed="false">
      <c r="A6" s="12" t="s">
        <v>232</v>
      </c>
      <c r="B6" s="12" t="s">
        <v>233</v>
      </c>
      <c r="C6" s="3"/>
      <c r="D6" s="4"/>
      <c r="E6" s="4"/>
      <c r="F6" s="4"/>
      <c r="G6" s="4"/>
      <c r="H6" s="4"/>
      <c r="I6" s="4"/>
      <c r="J6" s="4"/>
      <c r="K6" s="4"/>
      <c r="L6" s="4"/>
      <c r="M6" s="4" t="e">
        <f aca="false">ROUND(AVERAGE(C6:L6),1)</f>
        <v>#DIV/0!</v>
      </c>
      <c r="N6" s="4"/>
      <c r="O6" s="4"/>
      <c r="P6" s="4"/>
    </row>
    <row r="7" customFormat="false" ht="15" hidden="false" customHeight="false" outlineLevel="0" collapsed="false">
      <c r="A7" s="12" t="s">
        <v>234</v>
      </c>
      <c r="B7" s="12" t="s">
        <v>235</v>
      </c>
      <c r="C7" s="3"/>
      <c r="D7" s="4"/>
      <c r="E7" s="4"/>
      <c r="F7" s="4"/>
      <c r="G7" s="4"/>
      <c r="H7" s="4"/>
      <c r="I7" s="4"/>
      <c r="J7" s="4"/>
      <c r="K7" s="4"/>
      <c r="L7" s="4"/>
      <c r="M7" s="4" t="e">
        <f aca="false">ROUND(AVERAGE(C7:L7),1)</f>
        <v>#DIV/0!</v>
      </c>
      <c r="N7" s="4"/>
      <c r="O7" s="4"/>
      <c r="P7" s="4"/>
    </row>
    <row r="8" customFormat="false" ht="15" hidden="false" customHeight="false" outlineLevel="0" collapsed="false">
      <c r="A8" s="12" t="s">
        <v>236</v>
      </c>
      <c r="B8" s="12" t="s">
        <v>237</v>
      </c>
      <c r="C8" s="3"/>
      <c r="D8" s="4"/>
      <c r="E8" s="4"/>
      <c r="F8" s="4"/>
      <c r="G8" s="4"/>
      <c r="H8" s="4"/>
      <c r="I8" s="4"/>
      <c r="J8" s="4"/>
      <c r="K8" s="4"/>
      <c r="L8" s="4"/>
      <c r="M8" s="4" t="e">
        <f aca="false">ROUND(AVERAGE(C8:L8),1)</f>
        <v>#DIV/0!</v>
      </c>
      <c r="N8" s="4"/>
      <c r="O8" s="4"/>
      <c r="P8" s="4"/>
    </row>
    <row r="9" customFormat="false" ht="15" hidden="false" customHeight="false" outlineLevel="0" collapsed="false">
      <c r="A9" s="12" t="s">
        <v>238</v>
      </c>
      <c r="B9" s="12" t="s">
        <v>239</v>
      </c>
      <c r="C9" s="3"/>
      <c r="D9" s="4"/>
      <c r="E9" s="4"/>
      <c r="F9" s="4"/>
      <c r="G9" s="4"/>
      <c r="H9" s="4"/>
      <c r="I9" s="4"/>
      <c r="J9" s="4"/>
      <c r="K9" s="4"/>
      <c r="L9" s="4"/>
      <c r="M9" s="4" t="e">
        <f aca="false">ROUND(AVERAGE(C9:L9),1)</f>
        <v>#DIV/0!</v>
      </c>
      <c r="N9" s="4"/>
      <c r="O9" s="4"/>
      <c r="P9" s="4"/>
    </row>
    <row r="10" customFormat="false" ht="15" hidden="false" customHeight="false" outlineLevel="0" collapsed="false">
      <c r="A10" s="13" t="s">
        <v>240</v>
      </c>
      <c r="B10" s="13" t="s">
        <v>241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 t="e">
        <f aca="false">ROUND(AVERAGE(C10:L10),1)</f>
        <v>#DIV/0!</v>
      </c>
      <c r="N10" s="4"/>
      <c r="O10" s="4"/>
      <c r="P10" s="4"/>
    </row>
    <row r="11" customFormat="false" ht="15" hidden="false" customHeight="false" outlineLevel="0" collapsed="false">
      <c r="A11" s="13" t="s">
        <v>242</v>
      </c>
      <c r="B11" s="13" t="s">
        <v>243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 t="e">
        <f aca="false">ROUND(AVERAGE(C11:L11),1)</f>
        <v>#DIV/0!</v>
      </c>
      <c r="N11" s="4"/>
      <c r="O11" s="4"/>
      <c r="P11" s="4"/>
    </row>
    <row r="12" customFormat="false" ht="15" hidden="false" customHeight="false" outlineLevel="0" collapsed="false">
      <c r="A12" s="13" t="s">
        <v>244</v>
      </c>
      <c r="B12" s="13" t="s">
        <v>245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 t="e">
        <f aca="false">ROUND(AVERAGE(C12:L12),1)</f>
        <v>#DIV/0!</v>
      </c>
      <c r="N12" s="4"/>
      <c r="O12" s="4"/>
      <c r="P12" s="4"/>
    </row>
    <row r="13" customFormat="false" ht="15" hidden="false" customHeight="false" outlineLevel="0" collapsed="false">
      <c r="A13" s="13" t="s">
        <v>246</v>
      </c>
      <c r="B13" s="13" t="s">
        <v>247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 t="e">
        <f aca="false">ROUND(AVERAGE(C13:L13),1)</f>
        <v>#DIV/0!</v>
      </c>
      <c r="N13" s="4"/>
      <c r="O13" s="4"/>
      <c r="P13" s="4"/>
    </row>
    <row r="14" customFormat="false" ht="15" hidden="false" customHeight="false" outlineLevel="0" collapsed="false">
      <c r="A14" s="13" t="s">
        <v>248</v>
      </c>
      <c r="B14" s="13" t="s">
        <v>249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 t="e">
        <f aca="false">ROUND(AVERAGE(C14:L14),1)</f>
        <v>#DIV/0!</v>
      </c>
      <c r="N14" s="4"/>
      <c r="O14" s="4"/>
      <c r="P14" s="4"/>
    </row>
    <row r="15" customFormat="false" ht="15" hidden="false" customHeight="false" outlineLevel="0" collapsed="false">
      <c r="A15" s="14" t="s">
        <v>250</v>
      </c>
      <c r="B15" s="14" t="s">
        <v>251</v>
      </c>
      <c r="C15" s="3"/>
      <c r="D15" s="4"/>
      <c r="E15" s="4"/>
      <c r="F15" s="4"/>
      <c r="G15" s="4"/>
      <c r="H15" s="4"/>
      <c r="I15" s="4"/>
      <c r="J15" s="4"/>
      <c r="K15" s="4"/>
      <c r="L15" s="4"/>
      <c r="M15" s="4" t="e">
        <f aca="false">ROUND(AVERAGE(C15:L15),1)</f>
        <v>#DIV/0!</v>
      </c>
      <c r="N15" s="4"/>
      <c r="O15" s="4"/>
      <c r="P15" s="4"/>
    </row>
    <row r="16" customFormat="false" ht="15" hidden="false" customHeight="false" outlineLevel="0" collapsed="false">
      <c r="A16" s="14" t="s">
        <v>252</v>
      </c>
      <c r="B16" s="14" t="s">
        <v>253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 t="e">
        <f aca="false">ROUND(AVERAGE(C16:L16),1)</f>
        <v>#DIV/0!</v>
      </c>
      <c r="N16" s="4"/>
      <c r="O16" s="4"/>
      <c r="P16" s="4"/>
    </row>
    <row r="17" customFormat="false" ht="15" hidden="false" customHeight="false" outlineLevel="0" collapsed="false">
      <c r="A17" s="14" t="s">
        <v>254</v>
      </c>
      <c r="B17" s="14" t="s">
        <v>255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 t="e">
        <f aca="false">ROUND(AVERAGE(C17:L17),1)</f>
        <v>#DIV/0!</v>
      </c>
      <c r="N17" s="4"/>
      <c r="O17" s="4"/>
      <c r="P17" s="4"/>
    </row>
    <row r="18" customFormat="false" ht="15" hidden="false" customHeight="false" outlineLevel="0" collapsed="false">
      <c r="A18" s="14" t="s">
        <v>256</v>
      </c>
      <c r="B18" s="14" t="s">
        <v>257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 t="e">
        <f aca="false">ROUND(AVERAGE(C18:L18),1)</f>
        <v>#DIV/0!</v>
      </c>
      <c r="N18" s="4"/>
      <c r="O18" s="4"/>
      <c r="P18" s="4"/>
    </row>
    <row r="19" customFormat="false" ht="15" hidden="false" customHeight="false" outlineLevel="0" collapsed="false">
      <c r="A19" s="14" t="s">
        <v>258</v>
      </c>
      <c r="B19" s="14" t="s">
        <v>259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 t="e">
        <f aca="false">ROUND(AVERAGE(C19:L19),1)</f>
        <v>#DIV/0!</v>
      </c>
      <c r="N19" s="4"/>
      <c r="O19" s="4"/>
      <c r="P19" s="4"/>
    </row>
    <row r="20" customFormat="false" ht="15" hidden="false" customHeight="false" outlineLevel="0" collapsed="false">
      <c r="A20" s="15" t="s">
        <v>260</v>
      </c>
      <c r="B20" s="15" t="s">
        <v>261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 t="e">
        <f aca="false">ROUND(AVERAGE(C20:L20),1)</f>
        <v>#DIV/0!</v>
      </c>
      <c r="N20" s="4"/>
      <c r="O20" s="4"/>
      <c r="P20" s="4"/>
    </row>
    <row r="21" customFormat="false" ht="15" hidden="false" customHeight="false" outlineLevel="0" collapsed="false">
      <c r="A21" s="15" t="s">
        <v>262</v>
      </c>
      <c r="B21" s="15" t="s">
        <v>263</v>
      </c>
      <c r="C21" s="3"/>
      <c r="D21" s="4"/>
      <c r="E21" s="4"/>
      <c r="F21" s="4"/>
      <c r="G21" s="4"/>
      <c r="H21" s="4"/>
      <c r="I21" s="4"/>
      <c r="J21" s="4"/>
      <c r="K21" s="4"/>
      <c r="L21" s="4"/>
      <c r="M21" s="4" t="e">
        <f aca="false">ROUND(AVERAGE(C21:L21),1)</f>
        <v>#DIV/0!</v>
      </c>
      <c r="N21" s="4"/>
      <c r="O21" s="4"/>
      <c r="P21" s="4"/>
    </row>
    <row r="22" customFormat="false" ht="15" hidden="false" customHeight="false" outlineLevel="0" collapsed="false">
      <c r="A22" s="15" t="s">
        <v>264</v>
      </c>
      <c r="B22" s="15" t="s">
        <v>265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 t="e">
        <f aca="false">ROUND(AVERAGE(C22:L22),1)</f>
        <v>#DIV/0!</v>
      </c>
      <c r="N22" s="4"/>
      <c r="O22" s="4"/>
      <c r="P22" s="4"/>
    </row>
    <row r="23" customFormat="false" ht="15" hidden="false" customHeight="false" outlineLevel="0" collapsed="false">
      <c r="A23" s="15" t="s">
        <v>266</v>
      </c>
      <c r="B23" s="15" t="s">
        <v>267</v>
      </c>
      <c r="C23" s="3"/>
      <c r="D23" s="4"/>
      <c r="E23" s="4"/>
      <c r="F23" s="4"/>
      <c r="G23" s="4"/>
      <c r="H23" s="4"/>
      <c r="I23" s="4"/>
      <c r="J23" s="4"/>
      <c r="K23" s="4"/>
      <c r="L23" s="4"/>
      <c r="M23" s="4" t="e">
        <f aca="false">ROUND(AVERAGE(C23:L23),1)</f>
        <v>#DIV/0!</v>
      </c>
      <c r="N23" s="4"/>
      <c r="O23" s="4"/>
      <c r="P23" s="4"/>
    </row>
    <row r="24" customFormat="false" ht="15" hidden="false" customHeight="false" outlineLevel="0" collapsed="false">
      <c r="A24" s="16" t="s">
        <v>268</v>
      </c>
      <c r="B24" s="16" t="s">
        <v>269</v>
      </c>
      <c r="C24" s="3"/>
      <c r="D24" s="4"/>
      <c r="E24" s="4"/>
      <c r="F24" s="4"/>
      <c r="G24" s="4"/>
      <c r="H24" s="4"/>
      <c r="I24" s="4"/>
      <c r="J24" s="4"/>
      <c r="K24" s="4"/>
      <c r="L24" s="4"/>
      <c r="M24" s="4" t="e">
        <f aca="false">ROUND(AVERAGE(C24:L24),1)</f>
        <v>#DIV/0!</v>
      </c>
      <c r="N24" s="4"/>
      <c r="O24" s="4"/>
      <c r="P24" s="4"/>
    </row>
    <row r="25" customFormat="false" ht="15" hidden="false" customHeight="false" outlineLevel="0" collapsed="false">
      <c r="A25" s="16" t="s">
        <v>270</v>
      </c>
      <c r="B25" s="16" t="s">
        <v>271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 t="e">
        <f aca="false">ROUND(AVERAGE(C25:L25),1)</f>
        <v>#DIV/0!</v>
      </c>
      <c r="N25" s="4"/>
      <c r="O25" s="4"/>
      <c r="P25" s="4"/>
    </row>
    <row r="26" customFormat="false" ht="15" hidden="false" customHeight="false" outlineLevel="0" collapsed="false">
      <c r="A26" s="16" t="s">
        <v>272</v>
      </c>
      <c r="B26" s="16" t="s">
        <v>273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 t="e">
        <f aca="false">ROUND(AVERAGE(C26:L26),1)</f>
        <v>#DIV/0!</v>
      </c>
      <c r="N26" s="4"/>
      <c r="O26" s="4"/>
      <c r="P26" s="4"/>
    </row>
    <row r="27" customFormat="false" ht="15" hidden="false" customHeight="false" outlineLevel="0" collapsed="false">
      <c r="A27" s="16" t="s">
        <v>274</v>
      </c>
      <c r="B27" s="16" t="s">
        <v>275</v>
      </c>
      <c r="C27" s="3"/>
      <c r="D27" s="4"/>
      <c r="E27" s="4"/>
      <c r="F27" s="4"/>
      <c r="G27" s="4"/>
      <c r="H27" s="4"/>
      <c r="I27" s="4"/>
      <c r="J27" s="4"/>
      <c r="K27" s="4"/>
      <c r="L27" s="4"/>
      <c r="M27" s="4" t="e">
        <f aca="false">ROUND(AVERAGE(C27:L27),1)</f>
        <v>#DIV/0!</v>
      </c>
      <c r="N27" s="4"/>
      <c r="O27" s="4"/>
      <c r="P27" s="4"/>
    </row>
  </sheetData>
  <dataValidations count="10">
    <dataValidation allowBlank="true" errorStyle="stop" operator="between" showDropDown="false" showErrorMessage="false" showInputMessage="false" sqref="C2:C27" type="list">
      <formula1>"1,2,3,4,5"</formula1>
      <formula2>0</formula2>
    </dataValidation>
    <dataValidation allowBlank="true" errorStyle="stop" operator="between" showDropDown="false" showErrorMessage="false" showInputMessage="false" sqref="D2:D27" type="list">
      <formula1>"1,2,3,4,5"</formula1>
      <formula2>0</formula2>
    </dataValidation>
    <dataValidation allowBlank="true" errorStyle="stop" operator="between" showDropDown="false" showErrorMessage="false" showInputMessage="false" sqref="E2:E27" type="list">
      <formula1>"1,2,3,4,5"</formula1>
      <formula2>0</formula2>
    </dataValidation>
    <dataValidation allowBlank="true" errorStyle="stop" operator="between" showDropDown="false" showErrorMessage="false" showInputMessage="false" sqref="F2:F27" type="list">
      <formula1>"1,2,3,4,5"</formula1>
      <formula2>0</formula2>
    </dataValidation>
    <dataValidation allowBlank="true" errorStyle="stop" operator="between" showDropDown="false" showErrorMessage="false" showInputMessage="false" sqref="G2:G27" type="list">
      <formula1>"1,2,3,4,5"</formula1>
      <formula2>0</formula2>
    </dataValidation>
    <dataValidation allowBlank="true" errorStyle="stop" operator="between" showDropDown="false" showErrorMessage="false" showInputMessage="false" sqref="H2:H27" type="list">
      <formula1>"1,2,3,4,5"</formula1>
      <formula2>0</formula2>
    </dataValidation>
    <dataValidation allowBlank="true" errorStyle="stop" operator="between" showDropDown="false" showErrorMessage="false" showInputMessage="false" sqref="I2:I27" type="list">
      <formula1>"1,2,3,4,5"</formula1>
      <formula2>0</formula2>
    </dataValidation>
    <dataValidation allowBlank="true" errorStyle="stop" operator="between" showDropDown="false" showErrorMessage="false" showInputMessage="false" sqref="J2:J27" type="list">
      <formula1>"1,2,3,4,5"</formula1>
      <formula2>0</formula2>
    </dataValidation>
    <dataValidation allowBlank="true" errorStyle="stop" operator="between" showDropDown="false" showErrorMessage="false" showInputMessage="false" sqref="K2:K27" type="list">
      <formula1>"1,2,3,4,5"</formula1>
      <formula2>0</formula2>
    </dataValidation>
    <dataValidation allowBlank="true" errorStyle="stop" operator="between" showDropDown="false" showErrorMessage="false" showInputMessage="false" sqref="L2:L27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2026-03-17T04:57:42Z</dcterms:created>
  <dc:creator>openpyxl</dc:creator>
  <dc:description/>
  <dc:language>en-US</dc:language>
  <cp:lastModifiedBy/>
  <dcterms:modified xsi:type="dcterms:W3CDTF">2026-03-17T04:57:42Z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